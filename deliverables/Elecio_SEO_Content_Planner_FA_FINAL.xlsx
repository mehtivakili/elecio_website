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_lists" sheetId="2" state="hidden" r:id="rId2"/>
    <sheet name="مسیر عملیاتی" sheetId="3" state="visible" r:id="rId3"/>
    <sheet name="داشبورد" sheetId="4" state="visible" r:id="rId4"/>
    <sheet name="نقشه کیورد" sheetId="5" state="visible" r:id="rId5"/>
    <sheet name="تقویم محتوا" sheetId="6" state="visible" r:id="rId6"/>
    <sheet name="بریف مقاله" sheetId="7" state="visible" r:id="rId7"/>
    <sheet name="صفحات هدف" sheetId="8" state="visible" r:id="rId8"/>
    <sheet name="لینک‌سازی داخلی" sheetId="9" state="visible" r:id="rId9"/>
    <sheet name="کنترل کیفیت" sheetId="10" state="visible" r:id="rId10"/>
    <sheet name="پرامپت محتوا" sheetId="11" state="visible" r:id="rId11"/>
  </sheets>
  <definedNames>
    <definedName name="_xlnm._FilterDatabase" localSheetId="2" hidden="1">'مسیر عملیاتی'!$A$1:$F$9</definedName>
    <definedName name="_xlnm._FilterDatabase" localSheetId="4" hidden="1">'نقشه کیورد'!$A$3:$U$13</definedName>
    <definedName name="_xlnm._FilterDatabase" localSheetId="5" hidden="1">'تقویم محتوا'!$A$3:$AK$13</definedName>
    <definedName name="_xlnm._FilterDatabase" localSheetId="8" hidden="1">'لینک‌سازی داخلی'!$A$3:$H$33</definedName>
    <definedName name="_xlnm._FilterDatabase" localSheetId="9" hidden="1">'کنترل کیفیت'!$A$3:$H$36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-mm-dd"/>
  </numFmts>
  <fonts count="12">
    <font>
      <name val="Calibri"/>
      <family val="2"/>
      <color theme="1"/>
      <sz val="11"/>
      <scheme val="minor"/>
    </font>
    <font>
      <name val="Vazirmatn"/>
      <b val="1"/>
      <color rgb="00FFFFFF"/>
      <sz val="18"/>
    </font>
    <font>
      <name val="Vazirmatn"/>
      <color rgb="0064748B"/>
      <sz val="10"/>
    </font>
    <font>
      <name val="Vazirmatn"/>
      <b val="1"/>
      <color rgb="0064748B"/>
      <sz val="11"/>
    </font>
    <font>
      <name val="Vazirmatn"/>
      <b val="1"/>
      <color rgb="001473E6"/>
      <sz val="18"/>
    </font>
    <font>
      <name val="Vazirmatn"/>
      <b val="1"/>
      <color rgb="00FFFFFF"/>
      <sz val="10"/>
    </font>
    <font>
      <name val="Vazirmatn"/>
      <color rgb="00172033"/>
      <sz val="10"/>
    </font>
    <font>
      <name val="Calibri"/>
      <family val="2"/>
      <color theme="10"/>
      <sz val="12"/>
      <scheme val="minor"/>
    </font>
    <font>
      <name val="Vazirmatn"/>
      <b val="1"/>
      <color rgb="00FFFFFF"/>
      <sz val="11"/>
    </font>
    <font>
      <name val="Vazirmatn"/>
      <b val="1"/>
      <color rgb="001473E6"/>
      <sz val="11"/>
    </font>
    <font>
      <name val="Vazirmatn"/>
      <b val="1"/>
      <color rgb="00172033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0A1224"/>
      </patternFill>
    </fill>
    <fill>
      <patternFill patternType="solid">
        <fgColor rgb="00EAF4FF"/>
      </patternFill>
    </fill>
    <fill>
      <patternFill patternType="solid">
        <fgColor rgb="00FFFFFF"/>
      </patternFill>
    </fill>
    <fill>
      <patternFill patternType="solid">
        <fgColor rgb="001473E6"/>
      </patternFill>
    </fill>
    <fill>
      <patternFill patternType="solid">
        <fgColor rgb="00F8FAFD"/>
      </patternFill>
    </fill>
    <fill>
      <patternFill patternType="solid">
        <fgColor rgb="00E9FBFF"/>
      </patternFill>
    </fill>
    <fill>
      <patternFill patternType="solid">
        <fgColor rgb="00FFF5D9"/>
      </patternFill>
    </fill>
    <fill>
      <patternFill patternType="solid">
        <fgColor rgb="00172033"/>
      </patternFill>
    </fill>
    <fill>
      <patternFill patternType="solid">
        <fgColor rgb="00EEF4FF"/>
      </patternFill>
    </fill>
  </fills>
  <borders count="7">
    <border>
      <left/>
      <right/>
      <top/>
      <bottom/>
      <diagonal/>
    </border>
    <border>
      <left style="thin">
        <color rgb="00D7E0EC"/>
      </left>
      <right style="thin">
        <color rgb="00D7E0EC"/>
      </right>
      <top style="thin">
        <color rgb="00D7E0EC"/>
      </top>
      <bottom style="thin">
        <color rgb="00D7E0EC"/>
      </bottom>
    </border>
    <border>
      <left/>
      <right/>
      <top style="thin">
        <color rgb="00D7E0EC"/>
      </top>
      <bottom/>
      <diagonal/>
    </border>
    <border>
      <left/>
      <right style="thin">
        <color rgb="00D7E0EC"/>
      </right>
      <top style="thin">
        <color rgb="00D7E0EC"/>
      </top>
      <bottom/>
      <diagonal/>
    </border>
    <border>
      <left/>
      <right/>
      <top style="thin">
        <color rgb="00D7E0EC"/>
      </top>
      <bottom style="thin">
        <color rgb="00D7E0EC"/>
      </bottom>
      <diagonal/>
    </border>
    <border>
      <left/>
      <right style="thin">
        <color rgb="00D7E0EC"/>
      </right>
      <top style="thin">
        <color rgb="00D7E0EC"/>
      </top>
      <bottom style="thin">
        <color rgb="00D7E0EC"/>
      </bottom>
      <diagonal/>
    </border>
    <border>
      <left style="thin">
        <color rgb="00CCD5E2"/>
      </left>
      <right style="thin">
        <color rgb="00CCD5E2"/>
      </right>
      <top style="thin">
        <color rgb="00CCD5E2"/>
      </top>
      <bottom style="thin">
        <color rgb="00CCD5E2"/>
      </bottom>
    </border>
  </borders>
  <cellStyleXfs count="2">
    <xf numFmtId="0" fontId="0" fillId="0" borderId="0"/>
    <xf numFmtId="0" fontId="7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 wrapText="1"/>
    </xf>
    <xf numFmtId="0" fontId="9" fillId="3" borderId="1" pivotButton="0" quotePrefix="0" xfId="0"/>
    <xf numFmtId="0" fontId="6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9" fontId="4" fillId="4" borderId="1" applyAlignment="1" pivotButton="0" quotePrefix="0" xfId="0">
      <alignment horizontal="center" vertical="center"/>
    </xf>
    <xf numFmtId="0" fontId="5" fillId="5" borderId="1" pivotButton="0" quotePrefix="0" xfId="0"/>
    <xf numFmtId="0" fontId="6" fillId="6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right" vertical="top" wrapText="1"/>
    </xf>
    <xf numFmtId="0" fontId="6" fillId="0" borderId="1" applyAlignment="1" pivotButton="0" quotePrefix="0" xfId="0">
      <alignment horizontal="right" vertical="top" wrapText="1"/>
    </xf>
    <xf numFmtId="164" fontId="6" fillId="6" borderId="1" applyAlignment="1" pivotButton="0" quotePrefix="0" xfId="0">
      <alignment horizontal="right" vertical="top" wrapText="1"/>
    </xf>
    <xf numFmtId="0" fontId="6" fillId="6" borderId="1" applyAlignment="1" pivotButton="0" quotePrefix="0" xfId="1">
      <alignment horizontal="right" vertical="top" wrapText="1"/>
    </xf>
    <xf numFmtId="9" fontId="6" fillId="6" borderId="1" applyAlignment="1" pivotButton="0" quotePrefix="0" xfId="0">
      <alignment horizontal="right" vertical="top" wrapText="1"/>
    </xf>
    <xf numFmtId="165" fontId="6" fillId="6" borderId="1" applyAlignment="1" pivotButton="0" quotePrefix="0" xfId="0">
      <alignment horizontal="right" vertical="top" wrapText="1"/>
    </xf>
    <xf numFmtId="164" fontId="6" fillId="0" borderId="1" applyAlignment="1" pivotButton="0" quotePrefix="0" xfId="0">
      <alignment horizontal="right" vertical="top" wrapText="1"/>
    </xf>
    <xf numFmtId="0" fontId="6" fillId="0" borderId="1" applyAlignment="1" pivotButton="0" quotePrefix="0" xfId="1">
      <alignment horizontal="right" vertical="top" wrapText="1"/>
    </xf>
    <xf numFmtId="9" fontId="6" fillId="0" borderId="1" applyAlignment="1" pivotButton="0" quotePrefix="0" xfId="0">
      <alignment horizontal="right" vertical="top" wrapText="1"/>
    </xf>
    <xf numFmtId="165" fontId="6" fillId="0" borderId="1" applyAlignment="1" pivotButton="0" quotePrefix="0" xfId="0">
      <alignment horizontal="right" vertical="top" wrapText="1"/>
    </xf>
    <xf numFmtId="0" fontId="8" fillId="5" borderId="1" pivotButton="0" quotePrefix="0" xfId="0"/>
    <xf numFmtId="0" fontId="9" fillId="7" borderId="1" pivotButton="0" quotePrefix="0" xfId="0"/>
    <xf numFmtId="0" fontId="10" fillId="3" borderId="1" pivotButton="0" quotePrefix="0" xfId="0"/>
    <xf numFmtId="0" fontId="6" fillId="8" borderId="1" applyAlignment="1" applyProtection="1" pivotButton="0" quotePrefix="0" xfId="0">
      <alignment horizontal="right" vertical="top" wrapText="1"/>
      <protection locked="0" hidden="0"/>
    </xf>
    <xf numFmtId="0" fontId="8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4" fontId="6" fillId="6" borderId="1" applyAlignment="1" pivotButton="0" quotePrefix="0" xfId="0">
      <alignment horizontal="right" vertical="top" wrapText="1"/>
    </xf>
    <xf numFmtId="165" fontId="6" fillId="6" borderId="1" applyAlignment="1" pivotButton="0" quotePrefix="0" xfId="0">
      <alignment horizontal="right" vertical="top" wrapText="1"/>
    </xf>
    <xf numFmtId="164" fontId="6" fillId="0" borderId="1" applyAlignment="1" pivotButton="0" quotePrefix="0" xfId="0">
      <alignment horizontal="right" vertical="top" wrapText="1"/>
    </xf>
    <xf numFmtId="165" fontId="6" fillId="0" borderId="1" applyAlignment="1" pivotButton="0" quotePrefix="0" xfId="0">
      <alignment horizontal="right" vertical="top" wrapText="1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11" fillId="9" borderId="0" applyAlignment="1" pivotButton="0" quotePrefix="0" xfId="0">
      <alignment horizontal="center"/>
    </xf>
    <xf numFmtId="0" fontId="0" fillId="10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FFF5D9"/>
        </patternFill>
      </fill>
    </dxf>
    <dxf>
      <fill>
        <patternFill patternType="solid">
          <fgColor rgb="00FDECEF"/>
        </patternFill>
      </fill>
    </dxf>
    <dxf>
      <fill>
        <patternFill patternType="solid">
          <fgColor rgb="00E8F7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توزیع وضعیت محتوا</a:t>
            </a:r>
          </a:p>
        </rich>
      </tx>
    </title>
    <plotArea>
      <doughnutChart>
        <varyColors val="1"/>
        <ser>
          <idx val="0"/>
          <order val="0"/>
          <tx>
            <strRef>
              <f>'داشبورد'!C11</f>
            </strRef>
          </tx>
          <spPr>
            <a:ln>
              <a:prstDash val="solid"/>
            </a:ln>
          </spPr>
          <cat>
            <numRef>
              <f>'داشبورد'!$B$12:$B$20</f>
            </numRef>
          </cat>
          <val>
            <numRef>
              <f>'داشبورد'!$C$12:$C$20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پوشش خوشه‌های موضوعی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'داشبورد'!C23</f>
            </strRef>
          </tx>
          <spPr>
            <a:ln>
              <a:prstDash val="solid"/>
            </a:ln>
          </spPr>
          <cat>
            <numRef>
              <f>'داشبورد'!$B$24:$B$41</f>
            </numRef>
          </cat>
          <val>
            <numRef>
              <f>'داشبورد'!$C$24:$C$32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22</row>
      <rowOff>0</rowOff>
    </from>
    <ext cx="612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KeywordMap" displayName="KeywordMap" ref="A3:U63" headerRowCount="1">
  <autoFilter ref="A3:U63"/>
  <tableColumns count="21">
    <tableColumn id="1" name="شناسه"/>
    <tableColumn id="2" name="کلمه کلیدی اصلی"/>
    <tableColumn id="3" name="خوشه موضوعی"/>
    <tableColumn id="4" name="کلمات مرتبط"/>
    <tableColumn id="5" name="نیت جست‌وجو"/>
    <tableColumn id="6" name="مرحله قیف"/>
    <tableColumn id="7" name="نوع محتوای پیشنهادی"/>
    <tableColumn id="8" name="صفحه هدف/پیلار"/>
    <tableColumn id="9" name="اولویت"/>
    <tableColumn id="10" name="منبع داده"/>
    <tableColumn id="11" name="حجم جست‌وجوی ماهانه"/>
    <tableColumn id="12" name="سختی کیورد"/>
    <tableColumn id="13" name="رتبه فعلی"/>
    <tableColumn id="14" name="رتبه هدف"/>
    <tableColumn id="15" name="کلیک GSC"/>
    <tableColumn id="16" name="ایمپرشن GSC"/>
    <tableColumn id="17" name="CTR"/>
    <tableColumn id="18" name="ریسک هم‌نوع‌خواری"/>
    <tableColumn id="19" name="شناسه محتوا"/>
    <tableColumn id="20" name="آخرین بررسی"/>
    <tableColumn id="21" name="یادداشت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tentCalendar" displayName="ContentCalendar" ref="A3:AD63" headerRowCount="1">
  <autoFilter ref="A3:AD63"/>
  <tableColumns count="30">
    <tableColumn id="1" name="شناسه"/>
    <tableColumn id="2" name="هفته"/>
    <tableColumn id="3" name="روز انتشار"/>
    <tableColumn id="4" name="خوشه"/>
    <tableColumn id="5" name="عنوان مقاله"/>
    <tableColumn id="6" name="کیورد اصلی"/>
    <tableColumn id="7" name="کیوردهای فرعی"/>
    <tableColumn id="8" name="نیت"/>
    <tableColumn id="9" name="مرحله قیف"/>
    <tableColumn id="10" name="فرمت"/>
    <tableColumn id="11" name="SEO Title"/>
    <tableColumn id="12" name="طول Title"/>
    <tableColumn id="13" name="Meta Description"/>
    <tableColumn id="14" name="طول Meta"/>
    <tableColumn id="15" name="Slug پیشنهادی"/>
    <tableColumn id="16" name="H1"/>
    <tableColumn id="17" name="H2های پیشنهادی"/>
    <tableColumn id="18" name="لینک‌های داخلی"/>
    <tableColumn id="19" name="منبع ضروری"/>
    <tableColumn id="20" name="CTA"/>
    <tableColumn id="21" name="هدف محتوا"/>
    <tableColumn id="22" name="مسئول"/>
    <tableColumn id="23" name="تاریخ بریف"/>
    <tableColumn id="24" name="موعد انتشار"/>
    <tableColumn id="25" name="لینک انتشار"/>
    <tableColumn id="26" name="وضعیت"/>
    <tableColumn id="27" name="اولویت"/>
    <tableColumn id="28" name="درصد پیشرفت"/>
    <tableColumn id="29" name="آخرین به‌روزرسانی"/>
    <tableColumn id="30" name="یادداشت ویراستار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rgetPages" displayName="TargetPages" ref="A3:H11" headerRowCount="1">
  <autoFilter ref="A3:H11"/>
  <tableColumns count="8">
    <tableColumn id="1" name="نوع"/>
    <tableColumn id="2" name="عنوان صفحه"/>
    <tableColumn id="3" name="URL فارسی"/>
    <tableColumn id="4" name="نقش در معماری سئو"/>
    <tableColumn id="5" name="کیوردهای محوری"/>
    <tableColumn id="6" name="CTA اصلی"/>
    <tableColumn id="7" name="لینک از خوشه‌ها"/>
    <tableColumn id="8" name="وضعیت بررسی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ternalLinks" displayName="InternalLinks" ref="A3:H13" headerRowCount="1">
  <autoFilter ref="A3:H13"/>
  <tableColumns count="8">
    <tableColumn id="1" name="خوشه مبدأ"/>
    <tableColumn id="2" name="صفحه/خوشه مقصد"/>
    <tableColumn id="3" name="URL مقصد"/>
    <tableColumn id="4" name="انکر پیشنهادی ۱"/>
    <tableColumn id="5" name="انکر پیشنهادی ۲"/>
    <tableColumn id="6" name="جایگاه پیشنهادی"/>
    <tableColumn id="7" name="هدف لینک"/>
    <tableColumn id="8" name="وضعیت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QualityChecklist" displayName="QualityChecklist" ref="A3:H31" headerRowCount="1">
  <autoFilter ref="A3:H31"/>
  <tableColumns count="8">
    <tableColumn id="1" name="ردیف"/>
    <tableColumn id="2" name="مرحله"/>
    <tableColumn id="3" name="کنترل ضروری"/>
    <tableColumn id="4" name="معیار قبولی"/>
    <tableColumn id="5" name="وزن"/>
    <tableColumn id="6" name="وضعیت"/>
    <tableColumn id="7" name="مسئول"/>
    <tableColumn id="8" name="یادداش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/fa/blog/cnc-file-transfer-guide" TargetMode="External" Id="rId1" /><Relationship Type="http://schemas.openxmlformats.org/officeDocument/2006/relationships/hyperlink" Target="/fa/blog/fanuc-rs232-checklist" TargetMode="External" Id="rId2" /><Relationship Type="http://schemas.openxmlformats.org/officeDocument/2006/relationships/hyperlink" Target="/fa/blog/siemens-program-transfer-workflow" TargetMode="External" Id="rId3" /><Relationship Type="http://schemas.openxmlformats.org/officeDocument/2006/relationships/hyperlink" Target="/fa/blog/cnc-backup-security-basics" TargetMode="External" Id="rId4" /><Relationship Type="http://schemas.openxmlformats.org/officeDocument/2006/relationships/hyperlink" Target="/fa/blog/cnc-downtime-reporting-guide" TargetMode="External" Id="rId5" /><Relationship Type="http://schemas.openxmlformats.org/officeDocument/2006/relationships/table" Target="/xl/tables/table2.xml" Id="rId6" /></Relationships>
</file>

<file path=xl/worksheets/_rels/sheet8.xml.rels><Relationships xmlns="http://schemas.openxmlformats.org/package/2006/relationships"><Relationship Type="http://schemas.openxmlformats.org/officeDocument/2006/relationships/hyperlink" Target="/fa/product" TargetMode="External" Id="rId1" /><Relationship Type="http://schemas.openxmlformats.org/officeDocument/2006/relationships/hyperlink" Target="/fa/software" TargetMode="External" Id="rId2" /><Relationship Type="http://schemas.openxmlformats.org/officeDocument/2006/relationships/hyperlink" Target="/fa/about" TargetMode="External" Id="rId3" /><Relationship Type="http://schemas.openxmlformats.org/officeDocument/2006/relationships/hyperlink" Target="/fa/contact" TargetMode="External" Id="rId4" /><Relationship Type="http://schemas.openxmlformats.org/officeDocument/2006/relationships/hyperlink" Target="/fa/blog" TargetMode="External" Id="rId5" /><Relationship Type="http://schemas.openxmlformats.org/officeDocument/2006/relationships/hyperlink" Target="/fa/for/business-owners" TargetMode="External" Id="rId6" /><Relationship Type="http://schemas.openxmlformats.org/officeDocument/2006/relationships/hyperlink" Target="/fa/for/programmers" TargetMode="External" Id="rId7" /><Relationship Type="http://schemas.openxmlformats.org/officeDocument/2006/relationships/hyperlink" Target="/fa/for/operators" TargetMode="External" Id="rId8" /><Relationship Type="http://schemas.openxmlformats.org/officeDocument/2006/relationships/table" Target="/xl/tables/table3.xml" Id="rId9" /></Relationships>
</file>

<file path=xl/worksheets/_rels/sheet9.xml.rels><Relationships xmlns="http://schemas.openxmlformats.org/package/2006/relationships"><Relationship Type="http://schemas.openxmlformats.org/officeDocument/2006/relationships/hyperlink" Target="/fa/product" TargetMode="External" Id="rId1" /><Relationship Type="http://schemas.openxmlformats.org/officeDocument/2006/relationships/hyperlink" Target="/fa/software" TargetMode="External" Id="rId2" /><Relationship Type="http://schemas.openxmlformats.org/officeDocument/2006/relationships/hyperlink" Target="/fa/software" TargetMode="External" Id="rId3" /><Relationship Type="http://schemas.openxmlformats.org/officeDocument/2006/relationships/hyperlink" Target="/fa/blog/fanuc-rs232-checklist" TargetMode="External" Id="rId4" /><Relationship Type="http://schemas.openxmlformats.org/officeDocument/2006/relationships/hyperlink" Target="/fa/blog/siemens-program-transfer-workflow" TargetMode="External" Id="rId5" /><Relationship Type="http://schemas.openxmlformats.org/officeDocument/2006/relationships/hyperlink" Target="/fa/blog/cnc-backup-security-basics" TargetMode="External" Id="rId6" /><Relationship Type="http://schemas.openxmlformats.org/officeDocument/2006/relationships/hyperlink" Target="/fa/blog/cnc-downtime-reporting-guide" TargetMode="External" Id="rId7" /><Relationship Type="http://schemas.openxmlformats.org/officeDocument/2006/relationships/hyperlink" Target="/fa/contact" TargetMode="External" Id="rId8" /><Relationship Type="http://schemas.openxmlformats.org/officeDocument/2006/relationships/hyperlink" Target="/fa/for/business-owners" TargetMode="External" Id="rId9" /><Relationship Type="http://schemas.openxmlformats.org/officeDocument/2006/relationships/hyperlink" Target="/fa/blog/cnc-file-transfer-guide" TargetMode="External" Id="rId10" /><Relationship Type="http://schemas.openxmlformats.org/officeDocument/2006/relationships/table" Target="/xl/tables/table4.xml" Id="rId1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rightToLeft="1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8" customHeight="1">
      <c r="A1" s="1" t="inlineStr">
        <is>
          <t>راهنمای استفاده از فایل</t>
        </is>
      </c>
    </row>
    <row r="2" ht="32" customHeight="1">
      <c r="A2" s="2" t="inlineStr">
        <is>
          <t>این نسخه نهایی، تمام شیت‌های برنامه‌ریزی، تقویم، داشبورد، بریف، لینک‌سازی، کنترل کیفیت، پرامپت و تصاویر را با ۱۰ موضوع فارسی هماهنگ می‌کند.</t>
        </is>
      </c>
    </row>
    <row r="4" ht="58" customHeight="1">
      <c r="A4" s="3" t="inlineStr">
        <is>
          <t>۱. داده واقعی وارد کنید</t>
        </is>
      </c>
      <c r="B4" s="4" t="inlineStr">
        <is>
          <t>در «نقشه کیورد»، حجم جست‌وجو، سختی، رتبه، کلیک و ایمپرشن را فقط از Google Search Console، Keyword Planner یا ابزار معتبر وارد کنید.</t>
        </is>
      </c>
      <c r="C4" s="27" t="n"/>
      <c r="D4" s="27" t="n"/>
      <c r="E4" s="27" t="n"/>
      <c r="F4" s="27" t="n"/>
      <c r="G4" s="27" t="n"/>
      <c r="H4" s="28" t="n"/>
    </row>
    <row r="5" ht="58" customHeight="1">
      <c r="A5" s="3" t="inlineStr">
        <is>
          <t>۲. اولویت را تعیین کنید</t>
        </is>
      </c>
      <c r="B5" s="4" t="inlineStr">
        <is>
          <t>ابتدا موضوعات با نیت تجاری، ارتباط مستقیم با محصول و شکاف محتوایی واقعی را انتخاب کنید. داشبورد وضعیت را خلاصه می‌کند.</t>
        </is>
      </c>
      <c r="C5" s="27" t="n"/>
      <c r="D5" s="27" t="n"/>
      <c r="E5" s="27" t="n"/>
      <c r="F5" s="27" t="n"/>
      <c r="G5" s="27" t="n"/>
      <c r="H5" s="28" t="n"/>
    </row>
    <row r="6" ht="58" customHeight="1">
      <c r="A6" s="3" t="inlineStr">
        <is>
          <t>۳. بریف بسازید</t>
        </is>
      </c>
      <c r="B6" s="4" t="inlineStr">
        <is>
          <t>در «بریف مقاله» شناسه‌ای مثل EC-006 را انتخاب کنید؛ عنوان، کیورد، متا، ساختار و لینک‌ها خودکار نمایش داده می‌شوند. خانه‌های زرد را تیم فنی/سئو تکمیل کند.</t>
        </is>
      </c>
      <c r="C6" s="27" t="n"/>
      <c r="D6" s="27" t="n"/>
      <c r="E6" s="27" t="n"/>
      <c r="F6" s="27" t="n"/>
      <c r="G6" s="27" t="n"/>
      <c r="H6" s="28" t="n"/>
    </row>
    <row r="7" ht="58" customHeight="1">
      <c r="A7" s="3" t="inlineStr">
        <is>
          <t>۴. پرامپت را استفاده کنید</t>
        </is>
      </c>
      <c r="B7" s="4" t="inlineStr">
        <is>
          <t>پرامپت اختصاصی را با داده‌های بریف کامل کنید. در موضوعات فنی، کاتالوگ و تأیید تیم محصول باید بر متن AI مقدم باشد.</t>
        </is>
      </c>
      <c r="C7" s="27" t="n"/>
      <c r="D7" s="27" t="n"/>
      <c r="E7" s="27" t="n"/>
      <c r="F7" s="27" t="n"/>
      <c r="G7" s="27" t="n"/>
      <c r="H7" s="28" t="n"/>
    </row>
    <row r="8" ht="58" customHeight="1">
      <c r="A8" s="3" t="inlineStr">
        <is>
          <t>۵. کنترل کیفیت</t>
        </is>
      </c>
      <c r="B8" s="4" t="inlineStr">
        <is>
          <t>قبل از انتشار تمام موارد وزن ۵ در چک‌لیست باید تأیید شوند. سپس نگارش، موبایل، لینک‌ها و متادیتا بررسی شود.</t>
        </is>
      </c>
      <c r="C8" s="27" t="n"/>
      <c r="D8" s="27" t="n"/>
      <c r="E8" s="27" t="n"/>
      <c r="F8" s="27" t="n"/>
      <c r="G8" s="27" t="n"/>
      <c r="H8" s="28" t="n"/>
    </row>
    <row r="9" ht="58" customHeight="1">
      <c r="A9" s="3" t="inlineStr">
        <is>
          <t>۶. لینک‌سازی</t>
        </is>
      </c>
      <c r="B9" s="4" t="inlineStr">
        <is>
          <t>هر مقاله به صفحه Pillar مرتبط و دو مقاله هم‌خوشه لینک بدهد. انکر را طبیعی و متنوع انتخاب کنید.</t>
        </is>
      </c>
      <c r="C9" s="27" t="n"/>
      <c r="D9" s="27" t="n"/>
      <c r="E9" s="27" t="n"/>
      <c r="F9" s="27" t="n"/>
      <c r="G9" s="27" t="n"/>
      <c r="H9" s="28" t="n"/>
    </row>
    <row r="10" ht="58" customHeight="1">
      <c r="A10" s="3" t="inlineStr">
        <is>
          <t>۷. پس از انتشار</t>
        </is>
      </c>
      <c r="B10" s="4" t="inlineStr">
        <is>
          <t>لینک انتشار، وضعیت، درصد پیشرفت و تاریخ به‌روزرسانی را ثبت کنید؛ پس از ۲۸ تا ۴۲ روز داده GSC را بررسی و محتوا را بهبود دهید.</t>
        </is>
      </c>
      <c r="C10" s="27" t="n"/>
      <c r="D10" s="27" t="n"/>
      <c r="E10" s="27" t="n"/>
      <c r="F10" s="27" t="n"/>
      <c r="G10" s="27" t="n"/>
      <c r="H10" s="28" t="n"/>
    </row>
    <row r="11" ht="58" customHeight="1">
      <c r="A11" s="3" t="inlineStr">
        <is>
          <t>منبع کیوردها و قاعده URL</t>
        </is>
      </c>
      <c r="B11" s="4" t="inlineStr">
        <is>
          <t>۱۰ seed فایل seo_keywords.txt وارد شده‌اند. URL فارسی کوتاه و پایدار است؛ اجزای اصلی با خط فاصله می‌آیند و کلمات کم‌ارزش حذف می‌شوند. Volume/KD فقط با داده واقعی تکمیل شود.</t>
        </is>
      </c>
      <c r="C11" s="27" t="n"/>
      <c r="D11" s="27" t="n"/>
      <c r="E11" s="27" t="n"/>
      <c r="F11" s="27" t="n"/>
      <c r="G11" s="27" t="n"/>
      <c r="H11" s="28" t="n"/>
    </row>
  </sheetData>
  <mergeCells count="10">
    <mergeCell ref="B8:H8"/>
    <mergeCell ref="B9:H9"/>
    <mergeCell ref="B4:H4"/>
    <mergeCell ref="A2:H2"/>
    <mergeCell ref="B6:H6"/>
    <mergeCell ref="B7:H7"/>
    <mergeCell ref="A1:H1"/>
    <mergeCell ref="B10:H10"/>
    <mergeCell ref="B11:H11"/>
    <mergeCell ref="B5:H5"/>
  </mergeCells>
  <pageMargins left="0.25" right="0.2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ایده</t>
        </is>
      </c>
      <c r="B1" t="inlineStr">
        <is>
          <t>خیلی بالا</t>
        </is>
      </c>
      <c r="C1" t="inlineStr">
        <is>
          <t>اطلاعاتی</t>
        </is>
      </c>
      <c r="D1" t="inlineStr">
        <is>
          <t>آگاهی</t>
        </is>
      </c>
      <c r="E1" t="inlineStr">
        <is>
          <t>بله</t>
        </is>
      </c>
      <c r="F1" t="inlineStr">
        <is>
          <t>تأیید</t>
        </is>
      </c>
      <c r="G1" t="inlineStr">
        <is>
          <t>راهنمای جامع</t>
        </is>
      </c>
    </row>
    <row r="2">
      <c r="A2" t="inlineStr">
        <is>
          <t>در انتظار بریف</t>
        </is>
      </c>
      <c r="B2" t="inlineStr">
        <is>
          <t>بالا</t>
        </is>
      </c>
      <c r="C2" t="inlineStr">
        <is>
          <t>تجاری</t>
        </is>
      </c>
      <c r="D2" t="inlineStr">
        <is>
          <t>بررسی</t>
        </is>
      </c>
      <c r="E2" t="inlineStr">
        <is>
          <t>خیر</t>
        </is>
      </c>
      <c r="F2" t="inlineStr">
        <is>
          <t>نیازمند اصلاح</t>
        </is>
      </c>
      <c r="G2" t="inlineStr">
        <is>
          <t>راهنمای فنی</t>
        </is>
      </c>
    </row>
    <row r="3">
      <c r="A3" t="inlineStr">
        <is>
          <t>آماده نگارش</t>
        </is>
      </c>
      <c r="B3" t="inlineStr">
        <is>
          <t>متوسط</t>
        </is>
      </c>
      <c r="C3" t="inlineStr">
        <is>
          <t>خرید</t>
        </is>
      </c>
      <c r="D3" t="inlineStr">
        <is>
          <t>تصمیم</t>
        </is>
      </c>
      <c r="E3" t="inlineStr">
        <is>
          <t>نامشخص</t>
        </is>
      </c>
      <c r="F3" t="inlineStr">
        <is>
          <t>بررسی نشده</t>
        </is>
      </c>
      <c r="G3" t="inlineStr">
        <is>
          <t>آموزش فنی</t>
        </is>
      </c>
    </row>
    <row r="4">
      <c r="A4" t="inlineStr">
        <is>
          <t>در حال نگارش</t>
        </is>
      </c>
      <c r="B4" t="inlineStr">
        <is>
          <t>پایین</t>
        </is>
      </c>
      <c r="C4" t="inlineStr">
        <is>
          <t>پشتیبانی</t>
        </is>
      </c>
      <c r="D4" t="inlineStr">
        <is>
          <t>پس از خرید</t>
        </is>
      </c>
      <c r="F4" t="inlineStr">
        <is>
          <t>نامرتبط</t>
        </is>
      </c>
      <c r="G4" t="inlineStr">
        <is>
          <t>راهنمای خرید</t>
        </is>
      </c>
    </row>
    <row r="5">
      <c r="A5" t="inlineStr">
        <is>
          <t>در حال ویرایش</t>
        </is>
      </c>
      <c r="C5" t="inlineStr">
        <is>
          <t>برند/خرید</t>
        </is>
      </c>
      <c r="G5" t="inlineStr">
        <is>
          <t>راهنمای نرم‌افزار</t>
        </is>
      </c>
    </row>
    <row r="6">
      <c r="A6" t="inlineStr">
        <is>
          <t>آماده انتشار</t>
        </is>
      </c>
      <c r="C6" t="inlineStr">
        <is>
          <t>اطلاعاتی/تجاری</t>
        </is>
      </c>
      <c r="G6" t="inlineStr">
        <is>
          <t>کاربرد صنعتی</t>
        </is>
      </c>
    </row>
    <row r="7">
      <c r="A7" t="inlineStr">
        <is>
          <t>زمان‌بندی‌شده</t>
        </is>
      </c>
    </row>
    <row r="8">
      <c r="A8" t="inlineStr">
        <is>
          <t>منتشرشده</t>
        </is>
      </c>
    </row>
    <row r="9">
      <c r="A9" t="inlineStr">
        <is>
          <t>نیازمند به‌روزرسانی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3" customWidth="1" min="3" max="3"/>
    <col width="60" customWidth="1" min="4" max="4"/>
    <col width="42" customWidth="1" min="5" max="5"/>
    <col width="24" customWidth="1" min="6" max="6"/>
  </cols>
  <sheetData>
    <row r="1">
      <c r="A1" s="35" t="inlineStr">
        <is>
          <t>مرحله</t>
        </is>
      </c>
      <c r="B1" s="35" t="inlineStr">
        <is>
          <t>مسئول</t>
        </is>
      </c>
      <c r="C1" s="35" t="inlineStr">
        <is>
          <t>ورودی</t>
        </is>
      </c>
      <c r="D1" s="35" t="inlineStr">
        <is>
          <t>اقدام دقیق</t>
        </is>
      </c>
      <c r="E1" s="35" t="inlineStr">
        <is>
          <t>معیار پذیرش</t>
        </is>
      </c>
      <c r="F1" s="35" t="inlineStr">
        <is>
          <t>محل ثبت</t>
        </is>
      </c>
    </row>
    <row r="2">
      <c r="A2" s="36" t="inlineStr">
        <is>
          <t>۱. انتخاب موضوع</t>
        </is>
      </c>
      <c r="B2" s="36" t="inlineStr">
        <is>
          <t>مدیر محتوا</t>
        </is>
      </c>
      <c r="C2" s="36" t="inlineStr">
        <is>
          <t>نقشه کیورد</t>
        </is>
      </c>
      <c r="D2" s="36" t="inlineStr">
        <is>
          <t>موضوع با نیت روشن انتخاب و هم‌پوشانی با صفحات قبلی بررسی شود.</t>
        </is>
      </c>
      <c r="E2" s="36" t="inlineStr">
        <is>
          <t>یک ID و keyword اصلی</t>
        </is>
      </c>
      <c r="F2" s="36" t="inlineStr">
        <is>
          <t>نقشه کیورد</t>
        </is>
      </c>
    </row>
    <row r="3">
      <c r="A3" s="37" t="inlineStr">
        <is>
          <t>۲. تثبیت URL</t>
        </is>
      </c>
      <c r="B3" s="37" t="inlineStr">
        <is>
          <t>سئو</t>
        </is>
      </c>
      <c r="C3" s="37" t="inlineStr">
        <is>
          <t>عنوان و keyword</t>
        </is>
      </c>
      <c r="D3" s="37" t="inlineStr">
        <is>
          <t>هسته موضوع حفظ و واژه‌های کم‌ارزش حذف؛ کلمات با خط فاصله جدا شوند.</t>
        </is>
      </c>
      <c r="E3" s="37" t="inlineStr">
        <is>
          <t>URL یکتا، کوتاه و بدون تاریخ</t>
        </is>
      </c>
      <c r="F3" s="37" t="inlineStr">
        <is>
          <t>تقویم محتوا</t>
        </is>
      </c>
    </row>
    <row r="4">
      <c r="A4" s="36" t="inlineStr">
        <is>
          <t>۳. نگارش Word</t>
        </is>
      </c>
      <c r="B4" s="36" t="inlineStr">
        <is>
          <t>نویسنده</t>
        </is>
      </c>
      <c r="C4" s="36" t="inlineStr">
        <is>
          <t>بریف پوشه موضوع</t>
        </is>
      </c>
      <c r="D4" s="36" t="inlineStr">
        <is>
          <t>مقدمه پاسخ‌محور، H2ها، مثال، منبع، FAQ و CTA نوشته شود.</t>
        </is>
      </c>
      <c r="E4" s="36" t="inlineStr">
        <is>
          <t>متن کامل و بازبینی‌شده</t>
        </is>
      </c>
      <c r="F4" s="36" t="inlineStr">
        <is>
          <t>Word همان پوشه</t>
        </is>
      </c>
    </row>
    <row r="5">
      <c r="A5" s="37" t="inlineStr">
        <is>
          <t>۴. تولید تصویر</t>
        </is>
      </c>
      <c r="B5" s="37" t="inlineStr">
        <is>
          <t>طراح/AI</t>
        </is>
      </c>
      <c r="C5" s="37" t="inlineStr">
        <is>
          <t>پرامپت اکسل</t>
        </is>
      </c>
      <c r="D5" s="37" t="inlineStr">
        <is>
          <t>تصویر بدون متن/لوگو ساخته، ۶۰۰×۴۰۰ و WebP ذخیره شود.</t>
        </is>
      </c>
      <c r="E5" s="37" t="inlineStr">
        <is>
          <t>تصویر، نام و alt صحیح</t>
        </is>
      </c>
      <c r="F5" s="37" t="inlineStr">
        <is>
          <t>پوشه images</t>
        </is>
      </c>
    </row>
    <row r="6">
      <c r="A6" s="36" t="inlineStr">
        <is>
          <t>۵. ورود به CMS</t>
        </is>
      </c>
      <c r="B6" s="36" t="inlineStr">
        <is>
          <t>ناشر</t>
        </is>
      </c>
      <c r="C6" s="36" t="inlineStr">
        <is>
          <t>Word و تصویر</t>
        </is>
      </c>
      <c r="D6" s="36" t="inlineStr">
        <is>
          <t>Title، Meta، slug، بدنه، تصویر و alt وارد و preview بررسی شود.</t>
        </is>
      </c>
      <c r="E6" s="36" t="inlineStr">
        <is>
          <t>کنترل‌های SEO کامل</t>
        </is>
      </c>
      <c r="F6" s="36" t="inlineStr">
        <is>
          <t>پنل نویسنده</t>
        </is>
      </c>
    </row>
    <row r="7">
      <c r="A7" s="37" t="inlineStr">
        <is>
          <t>۶. صف انتشار</t>
        </is>
      </c>
      <c r="B7" s="37" t="inlineStr">
        <is>
          <t>مدیر محتوا</t>
        </is>
      </c>
      <c r="C7" s="37" t="inlineStr">
        <is>
          <t>Draft آماده</t>
        </is>
      </c>
      <c r="D7" s="37" t="inlineStr">
        <is>
          <t>Active Queue روشن و فاصله ۲، ۳ یا ۴ روز انتخاب شود.</t>
        </is>
      </c>
      <c r="E7" s="37" t="inlineStr">
        <is>
          <t>تاریخ آینده ثبت شده</t>
        </is>
      </c>
      <c r="F7" s="37" t="inlineStr">
        <is>
          <t>صف انتشار</t>
        </is>
      </c>
    </row>
    <row r="8">
      <c r="A8" s="36" t="inlineStr">
        <is>
          <t>۷. پس از انتشار</t>
        </is>
      </c>
      <c r="B8" s="36" t="inlineStr">
        <is>
          <t>سئو</t>
        </is>
      </c>
      <c r="C8" s="36" t="inlineStr">
        <is>
          <t>URL نهایی</t>
        </is>
      </c>
      <c r="D8" s="36" t="inlineStr">
        <is>
          <t>۲۰۰، canonical، index، sitemap، تصویر و لینک داخلی بررسی شود.</t>
        </is>
      </c>
      <c r="E8" s="36" t="inlineStr">
        <is>
          <t>بدون redirect و قابل ایندکس</t>
        </is>
      </c>
      <c r="F8" s="36" t="inlineStr">
        <is>
          <t>کنترل کیفیت</t>
        </is>
      </c>
    </row>
    <row r="9">
      <c r="A9" s="37" t="inlineStr">
        <is>
          <t>۸. بازبینی</t>
        </is>
      </c>
      <c r="B9" s="37" t="inlineStr">
        <is>
          <t>سئو</t>
        </is>
      </c>
      <c r="C9" s="37" t="inlineStr">
        <is>
          <t>داده GSC</t>
        </is>
      </c>
      <c r="D9" s="37" t="inlineStr">
        <is>
          <t>پس از ۲۸ تا ۴۲ روز query، CTR و position ثبت و تصمیم‌گیری شود.</t>
        </is>
      </c>
      <c r="E9" s="37" t="inlineStr">
        <is>
          <t>تصمیم بهبود مستند</t>
        </is>
      </c>
      <c r="F9" s="37" t="inlineStr">
        <is>
          <t>داشبورد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showGridLines="0" rightToLeft="1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4" customWidth="1" min="4" max="4"/>
    <col width="22" customWidth="1" min="5" max="5"/>
    <col width="18" customWidth="1" min="6" max="6"/>
    <col width="4" customWidth="1" min="7" max="7"/>
    <col width="22" customWidth="1" min="8" max="8"/>
    <col width="18" customWidth="1" min="9" max="9"/>
    <col width="3" customWidth="1" min="10" max="10"/>
  </cols>
  <sheetData>
    <row r="1" ht="38" customHeight="1">
      <c r="A1" s="1" t="inlineStr">
        <is>
          <t>داشبورد برنامه محتوای سئو ElecIO</t>
        </is>
      </c>
    </row>
    <row r="2" ht="32" customHeight="1">
      <c r="A2" s="2" t="inlineStr">
        <is>
          <t>نمای ۱۰ موضوع فارسی تأییدشده؛ وضعیت، اولویت و خوشه‌ها مستقیماً از تقویم محتوای نهایی خوانده می‌شوند.</t>
        </is>
      </c>
    </row>
    <row r="4" ht="48" customHeight="1">
      <c r="B4" s="6" t="inlineStr">
        <is>
          <t>کل موضوعات</t>
        </is>
      </c>
      <c r="C4" s="7">
        <f>COUNTA('تقویم محتوا'!A4:A13)</f>
        <v/>
      </c>
      <c r="E4" s="6" t="inlineStr">
        <is>
          <t>منتشرشده</t>
        </is>
      </c>
      <c r="F4" s="7">
        <f>COUNTIF('تقویم محتوا'!Z4:Z13,"منتشرشده")</f>
        <v/>
      </c>
      <c r="H4" s="6" t="inlineStr">
        <is>
          <t>آماده/زمان‌بندی</t>
        </is>
      </c>
      <c r="I4" s="7">
        <f>COUNTIF('تقویم محتوا'!Z4:Z13,"آماده انتشار")+COUNTIF('تقویم محتوا'!Z4:Z13,"زمان‌بندی‌شده")</f>
        <v/>
      </c>
    </row>
    <row r="7" ht="48" customHeight="1">
      <c r="B7" s="6" t="inlineStr">
        <is>
          <t>اولویت بالا</t>
        </is>
      </c>
      <c r="C7" s="7">
        <f>COUNTIF('تقویم محتوا'!AA4:AA13,"بالا")+COUNTIF('تقویم محتوا'!AA4:AA13,"خیلی بالا")</f>
        <v/>
      </c>
      <c r="E7" s="6" t="inlineStr">
        <is>
          <t>میانگین پیشرفت</t>
        </is>
      </c>
      <c r="F7" s="8">
        <f>IFERROR(AVERAGE('تقویم محتوا'!AB4:AB13),0)</f>
        <v/>
      </c>
      <c r="H7" s="6" t="inlineStr">
        <is>
          <t>کیوردهای ثبت‌شده</t>
        </is>
      </c>
      <c r="I7" s="7">
        <f>COUNTA('نقشه کیورد'!B4:B13)</f>
        <v/>
      </c>
    </row>
    <row r="11">
      <c r="B11" s="9" t="inlineStr">
        <is>
          <t>وضعیت</t>
        </is>
      </c>
      <c r="C11" s="9" t="inlineStr">
        <is>
          <t>تعداد</t>
        </is>
      </c>
    </row>
    <row r="12">
      <c r="B12" s="10" t="inlineStr">
        <is>
          <t>ایده</t>
        </is>
      </c>
      <c r="C12" s="10">
        <f>COUNTIF('تقویم محتوا'!$Z$4:$Z$13,B12)</f>
        <v/>
      </c>
    </row>
    <row r="13">
      <c r="B13" s="10" t="inlineStr">
        <is>
          <t>در انتظار بریف</t>
        </is>
      </c>
      <c r="C13" s="10">
        <f>COUNTIF('تقویم محتوا'!$Z$4:$Z$13,B13)</f>
        <v/>
      </c>
    </row>
    <row r="14">
      <c r="B14" s="10" t="inlineStr">
        <is>
          <t>آماده نگارش</t>
        </is>
      </c>
      <c r="C14" s="10">
        <f>COUNTIF('تقویم محتوا'!$Z$4:$Z$13,B14)</f>
        <v/>
      </c>
    </row>
    <row r="15">
      <c r="B15" s="10" t="inlineStr">
        <is>
          <t>در حال نگارش</t>
        </is>
      </c>
      <c r="C15" s="10">
        <f>COUNTIF('تقویم محتوا'!$Z$4:$Z$13,B15)</f>
        <v/>
      </c>
    </row>
    <row r="16">
      <c r="B16" s="10" t="inlineStr">
        <is>
          <t>در حال ویرایش</t>
        </is>
      </c>
      <c r="C16" s="10">
        <f>COUNTIF('تقویم محتوا'!$Z$4:$Z$13,B16)</f>
        <v/>
      </c>
    </row>
    <row r="17">
      <c r="B17" s="10" t="inlineStr">
        <is>
          <t>آماده انتشار</t>
        </is>
      </c>
      <c r="C17" s="10">
        <f>COUNTIF('تقویم محتوا'!$Z$4:$Z$13,B17)</f>
        <v/>
      </c>
    </row>
    <row r="18">
      <c r="B18" s="10" t="inlineStr">
        <is>
          <t>زمان‌بندی‌شده</t>
        </is>
      </c>
      <c r="C18" s="10">
        <f>COUNTIF('تقویم محتوا'!$Z$4:$Z$13,B18)</f>
        <v/>
      </c>
    </row>
    <row r="19">
      <c r="B19" s="10" t="inlineStr">
        <is>
          <t>منتشرشده</t>
        </is>
      </c>
      <c r="C19" s="10">
        <f>COUNTIF('تقویم محتوا'!$Z$4:$Z$13,B19)</f>
        <v/>
      </c>
    </row>
    <row r="20">
      <c r="B20" s="10" t="inlineStr">
        <is>
          <t>نیازمند به‌روزرسانی</t>
        </is>
      </c>
      <c r="C20" s="10">
        <f>COUNTIF('تقویم محتوا'!$Z$4:$Z$13,B20)</f>
        <v/>
      </c>
    </row>
    <row r="23">
      <c r="B23" s="9" t="inlineStr">
        <is>
          <t>خوشه</t>
        </is>
      </c>
      <c r="C23" s="9" t="inlineStr">
        <is>
          <t>تعداد</t>
        </is>
      </c>
    </row>
    <row r="24">
      <c r="B24" s="10" t="inlineStr">
        <is>
          <t>برنامه‌نویسی CNC</t>
        </is>
      </c>
      <c r="C24" s="10">
        <f>COUNTIF('تقویم محتوا'!$D$4:$D$13,B24)</f>
        <v/>
      </c>
    </row>
    <row r="25">
      <c r="B25" s="10" t="inlineStr">
        <is>
          <t>مبانی CNC</t>
        </is>
      </c>
      <c r="C25" s="10">
        <f>COUNTIF('تقویم محتوا'!$D$4:$D$13,B25)</f>
        <v/>
      </c>
    </row>
    <row r="26">
      <c r="B26" s="10" t="inlineStr">
        <is>
          <t>فرز CNC</t>
        </is>
      </c>
      <c r="C26" s="10">
        <f>COUNTIF('تقویم محتوا'!$D$4:$D$13,B26)</f>
        <v/>
      </c>
    </row>
    <row r="27">
      <c r="B27" s="10" t="inlineStr">
        <is>
          <t>اتوماسیون صنعتی</t>
        </is>
      </c>
      <c r="C27" s="10">
        <f>COUNTIF('تقویم محتوا'!$D$4:$D$13,B27)</f>
        <v/>
      </c>
    </row>
    <row r="28">
      <c r="B28" s="10" t="inlineStr">
        <is>
          <t>کنترل صنعتی</t>
        </is>
      </c>
      <c r="C28" s="10">
        <f>COUNTIF('تقویم محتوا'!$D$4:$D$13,B28)</f>
        <v/>
      </c>
    </row>
    <row r="29">
      <c r="B29" s="10" t="inlineStr">
        <is>
          <t>تراش CNC</t>
        </is>
      </c>
      <c r="C29" s="10">
        <f>COUNTIF('تقویم محتوا'!$D$4:$D$13,B29)</f>
        <v/>
      </c>
    </row>
    <row r="30">
      <c r="B30" s="10" t="inlineStr">
        <is>
          <t>ماشین‌کاری</t>
        </is>
      </c>
      <c r="C30" s="10">
        <f>COUNTIF('تقویم محتوا'!$D$4:$D$13,B30)</f>
        <v/>
      </c>
    </row>
    <row r="31">
      <c r="B31" s="10" t="inlineStr">
        <is>
          <t>نرم‌افزار CAM</t>
        </is>
      </c>
      <c r="C31" s="10">
        <f>COUNTIF('تقویم محتوا'!$D$4:$D$13,B31)</f>
        <v/>
      </c>
    </row>
    <row r="32">
      <c r="B32" s="10" t="inlineStr">
        <is>
          <t>خرید دستگاه CNC</t>
        </is>
      </c>
      <c r="C32" s="10">
        <f>COUNTIF('تقویم محتوا'!$D$4:$D$13,B32)</f>
        <v/>
      </c>
    </row>
    <row r="33">
      <c r="B33" s="10" t="n"/>
      <c r="C33" s="10" t="n"/>
    </row>
    <row r="34">
      <c r="B34" s="10" t="n"/>
      <c r="C34" s="10" t="n"/>
    </row>
    <row r="35">
      <c r="B35" s="10" t="n"/>
      <c r="C35" s="10" t="n"/>
    </row>
    <row r="36">
      <c r="B36" s="10" t="n"/>
      <c r="C36" s="10" t="n"/>
    </row>
    <row r="37">
      <c r="B37" s="10" t="n"/>
      <c r="C37" s="10" t="n"/>
    </row>
    <row r="38">
      <c r="B38" s="10" t="n"/>
      <c r="C38" s="10" t="n"/>
    </row>
    <row r="39">
      <c r="B39" s="10" t="n"/>
      <c r="C39" s="10" t="n"/>
    </row>
    <row r="40">
      <c r="B40" s="10" t="n"/>
      <c r="C40" s="10" t="n"/>
    </row>
    <row r="41">
      <c r="B41" s="10" t="n"/>
      <c r="C41" s="10" t="n"/>
    </row>
  </sheetData>
  <mergeCells count="2">
    <mergeCell ref="A1:J1"/>
    <mergeCell ref="A2:J2"/>
  </mergeCells>
  <pageMargins left="0.25" right="0.25" top="1" bottom="1" header="0.5" footer="0.5"/>
  <pageSetup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U13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4" customWidth="1" min="3" max="3"/>
    <col width="48" customWidth="1" min="4" max="4"/>
    <col width="18" customWidth="1" min="5" max="5"/>
    <col width="14" customWidth="1" min="6" max="6"/>
    <col width="22" customWidth="1" min="7" max="7"/>
    <col width="28" customWidth="1" min="8" max="8"/>
    <col width="12" customWidth="1" min="9" max="9"/>
    <col width="32" customWidth="1" min="10" max="10"/>
    <col width="16" customWidth="1" min="11" max="11"/>
    <col width="14" customWidth="1" min="12" max="12"/>
    <col width="13" customWidth="1" min="13" max="13"/>
    <col width="13" customWidth="1" min="14" max="14"/>
    <col width="12" customWidth="1" min="15" max="15"/>
    <col width="14" customWidth="1" min="16" max="16"/>
    <col width="12" customWidth="1" min="17" max="17"/>
    <col width="18" customWidth="1" min="18" max="18"/>
    <col width="14" customWidth="1" min="19" max="19"/>
    <col width="16" customWidth="1" min="20" max="20"/>
    <col width="35" customWidth="1" min="21" max="21"/>
  </cols>
  <sheetData>
    <row r="1" ht="38" customHeight="1">
      <c r="A1" s="1" t="inlineStr">
        <is>
          <t>نقشه کلمات کلیدی ElecIO</t>
        </is>
      </c>
    </row>
    <row r="2" ht="32" customHeight="1">
      <c r="A2" s="2" t="inlineStr">
        <is>
          <t>فقط ۱۰ seed تأییدشده کاربر؛ داده‌های Volume، KD، Click، Impression و CTR تا ورود منبع واقعی عمداً خالی‌اند.</t>
        </is>
      </c>
    </row>
    <row r="3" ht="34" customHeight="1">
      <c r="A3" s="11" t="inlineStr">
        <is>
          <t>شناسه</t>
        </is>
      </c>
      <c r="B3" s="11" t="inlineStr">
        <is>
          <t>کلمه کلیدی اصلی</t>
        </is>
      </c>
      <c r="C3" s="11" t="inlineStr">
        <is>
          <t>خوشه موضوعی</t>
        </is>
      </c>
      <c r="D3" s="11" t="inlineStr">
        <is>
          <t>کلمات مرتبط</t>
        </is>
      </c>
      <c r="E3" s="11" t="inlineStr">
        <is>
          <t>نیت جست‌وجو</t>
        </is>
      </c>
      <c r="F3" s="11" t="inlineStr">
        <is>
          <t>مرحله قیف</t>
        </is>
      </c>
      <c r="G3" s="11" t="inlineStr">
        <is>
          <t>نوع محتوای پیشنهادی</t>
        </is>
      </c>
      <c r="H3" s="11" t="inlineStr">
        <is>
          <t>صفحه هدف/پیلار</t>
        </is>
      </c>
      <c r="I3" s="11" t="inlineStr">
        <is>
          <t>اولویت</t>
        </is>
      </c>
      <c r="J3" s="11" t="inlineStr">
        <is>
          <t>منبع داده</t>
        </is>
      </c>
      <c r="K3" s="11" t="inlineStr">
        <is>
          <t>حجم جست‌وجوی ماهانه</t>
        </is>
      </c>
      <c r="L3" s="11" t="inlineStr">
        <is>
          <t>سختی کیورد</t>
        </is>
      </c>
      <c r="M3" s="11" t="inlineStr">
        <is>
          <t>رتبه فعلی</t>
        </is>
      </c>
      <c r="N3" s="11" t="inlineStr">
        <is>
          <t>رتبه هدف</t>
        </is>
      </c>
      <c r="O3" s="11" t="inlineStr">
        <is>
          <t>کلیک GSC</t>
        </is>
      </c>
      <c r="P3" s="11" t="inlineStr">
        <is>
          <t>ایمپرشن GSC</t>
        </is>
      </c>
      <c r="Q3" s="11" t="inlineStr">
        <is>
          <t>CTR</t>
        </is>
      </c>
      <c r="R3" s="11" t="inlineStr">
        <is>
          <t>ریسک هم‌نوع‌خواری</t>
        </is>
      </c>
      <c r="S3" s="11" t="inlineStr">
        <is>
          <t>شناسه محتوا</t>
        </is>
      </c>
      <c r="T3" s="11" t="inlineStr">
        <is>
          <t>آخرین بررسی</t>
        </is>
      </c>
      <c r="U3" s="11" t="inlineStr">
        <is>
          <t>یادداشت</t>
        </is>
      </c>
    </row>
    <row r="4" ht="48" customHeight="1">
      <c r="A4" s="12" t="inlineStr">
        <is>
          <t>KW-001</t>
        </is>
      </c>
      <c r="B4" s="12" t="inlineStr">
        <is>
          <t>جی کد</t>
        </is>
      </c>
      <c r="C4" s="12" t="inlineStr">
        <is>
          <t>برنامه‌نویسی CNC</t>
        </is>
      </c>
      <c r="D4" s="12" t="inlineStr">
        <is>
          <t>G-code، کدهای G و M، برنامه CNC</t>
        </is>
      </c>
      <c r="E4" s="12" t="inlineStr">
        <is>
          <t>اطلاعاتی</t>
        </is>
      </c>
      <c r="F4" s="12" t="inlineStr">
        <is>
          <t>آگاهی</t>
        </is>
      </c>
      <c r="G4" s="12" t="inlineStr">
        <is>
          <t>راهنمای جامع</t>
        </is>
      </c>
      <c r="H4" s="12" t="inlineStr">
        <is>
          <t>/fa/for/programmers</t>
        </is>
      </c>
      <c r="I4" s="12" t="inlineStr">
        <is>
          <t>خیلی بالا</t>
        </is>
      </c>
      <c r="J4" s="12" t="inlineStr">
        <is>
          <t>فهرست منتخب کاربر از جست‌وجوی دستی Google — seo_keywords.txt — بدون ادعای حجم یا سختی</t>
        </is>
      </c>
      <c r="K4" s="12" t="n"/>
      <c r="L4" s="12" t="n"/>
      <c r="M4" s="12" t="n"/>
      <c r="N4" s="12" t="n">
        <v>10</v>
      </c>
      <c r="O4" s="12" t="n"/>
      <c r="P4" s="12" t="n"/>
      <c r="Q4" s="12" t="n"/>
      <c r="R4" s="12" t="inlineStr">
        <is>
          <t>نامشخص</t>
        </is>
      </c>
      <c r="S4" s="12" t="inlineStr">
        <is>
          <t>EC-001</t>
        </is>
      </c>
      <c r="T4" s="30" t="n">
        <v>46262</v>
      </c>
      <c r="U4" s="12" t="inlineStr">
        <is>
          <t>Volume، KD و رتبه فقط با داده واقعی GSC/Keyword Planner تکمیل شود.</t>
        </is>
      </c>
    </row>
    <row r="5" ht="48" customHeight="1">
      <c r="A5" s="12" t="inlineStr">
        <is>
          <t>KW-002</t>
        </is>
      </c>
      <c r="B5" s="12" t="inlineStr">
        <is>
          <t>cnc دستگاه</t>
        </is>
      </c>
      <c r="C5" s="12" t="inlineStr">
        <is>
          <t>مبانی CNC</t>
        </is>
      </c>
      <c r="D5" s="12" t="inlineStr">
        <is>
          <t>دستگاه CNC، ماشین CNC، انواع CNC</t>
        </is>
      </c>
      <c r="E5" s="12" t="inlineStr">
        <is>
          <t>اطلاعاتی/تجاری</t>
        </is>
      </c>
      <c r="F5" s="12" t="inlineStr">
        <is>
          <t>بررسی</t>
        </is>
      </c>
      <c r="G5" s="12" t="inlineStr">
        <is>
          <t>راهنمای جامع</t>
        </is>
      </c>
      <c r="H5" s="12" t="inlineStr">
        <is>
          <t>/fa/product</t>
        </is>
      </c>
      <c r="I5" s="12" t="inlineStr">
        <is>
          <t>خیلی بالا</t>
        </is>
      </c>
      <c r="J5" s="12" t="inlineStr">
        <is>
          <t>فهرست منتخب کاربر از جست‌وجوی دستی Google — seo_keywords.txt — بدون ادعای حجم یا سختی</t>
        </is>
      </c>
      <c r="K5" s="12" t="n"/>
      <c r="L5" s="12" t="n"/>
      <c r="M5" s="12" t="n"/>
      <c r="N5" s="12" t="n">
        <v>10</v>
      </c>
      <c r="O5" s="12" t="n"/>
      <c r="P5" s="12" t="n"/>
      <c r="Q5" s="12" t="n"/>
      <c r="R5" s="12" t="inlineStr">
        <is>
          <t>نامشخص</t>
        </is>
      </c>
      <c r="S5" s="12" t="inlineStr">
        <is>
          <t>EC-002</t>
        </is>
      </c>
      <c r="T5" s="30" t="n">
        <v>46262</v>
      </c>
      <c r="U5" s="12" t="inlineStr">
        <is>
          <t>Volume، KD و رتبه فقط با داده واقعی GSC/Keyword Planner تکمیل شود.</t>
        </is>
      </c>
    </row>
    <row r="6" ht="48" customHeight="1">
      <c r="A6" s="12" t="inlineStr">
        <is>
          <t>KW-003</t>
        </is>
      </c>
      <c r="B6" s="12" t="inlineStr">
        <is>
          <t>فرز CNC</t>
        </is>
      </c>
      <c r="C6" s="12" t="inlineStr">
        <is>
          <t>فرز CNC</t>
        </is>
      </c>
      <c r="D6" s="12" t="inlineStr">
        <is>
          <t>دستگاه فرز CNC، فرز سه محور، فرز صنعتی</t>
        </is>
      </c>
      <c r="E6" s="12" t="inlineStr">
        <is>
          <t>اطلاعاتی/تجاری</t>
        </is>
      </c>
      <c r="F6" s="12" t="inlineStr">
        <is>
          <t>بررسی</t>
        </is>
      </c>
      <c r="G6" s="12" t="inlineStr">
        <is>
          <t>راهنمای فنی</t>
        </is>
      </c>
      <c r="H6" s="12" t="inlineStr">
        <is>
          <t>/fa/product</t>
        </is>
      </c>
      <c r="I6" s="12" t="inlineStr">
        <is>
          <t>خیلی بالا</t>
        </is>
      </c>
      <c r="J6" s="12" t="inlineStr">
        <is>
          <t>فهرست منتخب کاربر از جست‌وجوی دستی Google — seo_keywords.txt — بدون ادعای حجم یا سختی</t>
        </is>
      </c>
      <c r="K6" s="12" t="n"/>
      <c r="L6" s="12" t="n"/>
      <c r="M6" s="12" t="n"/>
      <c r="N6" s="12" t="n">
        <v>10</v>
      </c>
      <c r="O6" s="12" t="n"/>
      <c r="P6" s="12" t="n"/>
      <c r="Q6" s="12" t="n"/>
      <c r="R6" s="12" t="inlineStr">
        <is>
          <t>نامشخص</t>
        </is>
      </c>
      <c r="S6" s="12" t="inlineStr">
        <is>
          <t>EC-003</t>
        </is>
      </c>
      <c r="T6" s="30" t="n">
        <v>46262</v>
      </c>
      <c r="U6" s="12" t="inlineStr">
        <is>
          <t>Volume، KD و رتبه فقط با داده واقعی GSC/Keyword Planner تکمیل شود.</t>
        </is>
      </c>
    </row>
    <row r="7" ht="48" customHeight="1">
      <c r="A7" s="12" t="inlineStr">
        <is>
          <t>KW-004</t>
        </is>
      </c>
      <c r="B7" s="12" t="inlineStr">
        <is>
          <t>اتوماسیون صنعتی</t>
        </is>
      </c>
      <c r="C7" s="12" t="inlineStr">
        <is>
          <t>اتوماسیون صنعتی</t>
        </is>
      </c>
      <c r="D7" s="12" t="inlineStr">
        <is>
          <t>کنترل صنعتی، هوشمندسازی کارخانه، مانیتورینگ تولید</t>
        </is>
      </c>
      <c r="E7" s="12" t="inlineStr">
        <is>
          <t>اطلاعاتی/تجاری</t>
        </is>
      </c>
      <c r="F7" s="12" t="inlineStr">
        <is>
          <t>بررسی</t>
        </is>
      </c>
      <c r="G7" s="12" t="inlineStr">
        <is>
          <t>راهنمای جامع</t>
        </is>
      </c>
      <c r="H7" s="12" t="inlineStr">
        <is>
          <t>/fa/software</t>
        </is>
      </c>
      <c r="I7" s="12" t="inlineStr">
        <is>
          <t>بالا</t>
        </is>
      </c>
      <c r="J7" s="12" t="inlineStr">
        <is>
          <t>فهرست منتخب کاربر از جست‌وجوی دستی Google — seo_keywords.txt — بدون ادعای حجم یا سختی</t>
        </is>
      </c>
      <c r="K7" s="12" t="n"/>
      <c r="L7" s="12" t="n"/>
      <c r="M7" s="12" t="n"/>
      <c r="N7" s="12" t="n">
        <v>10</v>
      </c>
      <c r="O7" s="12" t="n"/>
      <c r="P7" s="12" t="n"/>
      <c r="Q7" s="12" t="n"/>
      <c r="R7" s="12" t="inlineStr">
        <is>
          <t>نامشخص</t>
        </is>
      </c>
      <c r="S7" s="12" t="inlineStr">
        <is>
          <t>EC-004</t>
        </is>
      </c>
      <c r="T7" s="30" t="n">
        <v>46262</v>
      </c>
      <c r="U7" s="12" t="inlineStr">
        <is>
          <t>Volume، KD و رتبه فقط با داده واقعی GSC/Keyword Planner تکمیل شود.</t>
        </is>
      </c>
    </row>
    <row r="8" ht="48" customHeight="1">
      <c r="A8" s="12" t="inlineStr">
        <is>
          <t>KW-005</t>
        </is>
      </c>
      <c r="B8" s="12" t="inlineStr">
        <is>
          <t>plc</t>
        </is>
      </c>
      <c r="C8" s="12" t="inlineStr">
        <is>
          <t>کنترل صنعتی</t>
        </is>
      </c>
      <c r="D8" s="12" t="inlineStr">
        <is>
          <t>PLC چیست، کنترل‌گر منطقی برنامه‌پذیر، برنامه نویسی PLC</t>
        </is>
      </c>
      <c r="E8" s="12" t="inlineStr">
        <is>
          <t>اطلاعاتی</t>
        </is>
      </c>
      <c r="F8" s="12" t="inlineStr">
        <is>
          <t>آگاهی</t>
        </is>
      </c>
      <c r="G8" s="12" t="inlineStr">
        <is>
          <t>آموزش فنی</t>
        </is>
      </c>
      <c r="H8" s="12" t="inlineStr">
        <is>
          <t>/fa/software</t>
        </is>
      </c>
      <c r="I8" s="12" t="inlineStr">
        <is>
          <t>بالا</t>
        </is>
      </c>
      <c r="J8" s="12" t="inlineStr">
        <is>
          <t>فهرست منتخب کاربر از جست‌وجوی دستی Google — seo_keywords.txt — بدون ادعای حجم یا سختی</t>
        </is>
      </c>
      <c r="K8" s="12" t="n"/>
      <c r="L8" s="12" t="n"/>
      <c r="M8" s="12" t="n"/>
      <c r="N8" s="12" t="n">
        <v>10</v>
      </c>
      <c r="O8" s="12" t="n"/>
      <c r="P8" s="12" t="n"/>
      <c r="Q8" s="12" t="n"/>
      <c r="R8" s="12" t="inlineStr">
        <is>
          <t>نامشخص</t>
        </is>
      </c>
      <c r="S8" s="12" t="inlineStr">
        <is>
          <t>EC-005</t>
        </is>
      </c>
      <c r="T8" s="30" t="n">
        <v>46262</v>
      </c>
      <c r="U8" s="12" t="inlineStr">
        <is>
          <t>Volume، KD و رتبه فقط با داده واقعی GSC/Keyword Planner تکمیل شود.</t>
        </is>
      </c>
    </row>
    <row r="9" ht="48" customHeight="1">
      <c r="A9" s="12" t="inlineStr">
        <is>
          <t>KW-006</t>
        </is>
      </c>
      <c r="B9" s="12" t="inlineStr">
        <is>
          <t>تراش cnc</t>
        </is>
      </c>
      <c r="C9" s="12" t="inlineStr">
        <is>
          <t>تراش CNC</t>
        </is>
      </c>
      <c r="D9" s="12" t="inlineStr">
        <is>
          <t>دستگاه تراش CNC، تراشکاری CNC، محور C</t>
        </is>
      </c>
      <c r="E9" s="12" t="inlineStr">
        <is>
          <t>اطلاعاتی/تجاری</t>
        </is>
      </c>
      <c r="F9" s="12" t="inlineStr">
        <is>
          <t>بررسی</t>
        </is>
      </c>
      <c r="G9" s="12" t="inlineStr">
        <is>
          <t>راهنمای فنی</t>
        </is>
      </c>
      <c r="H9" s="12" t="inlineStr">
        <is>
          <t>/fa/product</t>
        </is>
      </c>
      <c r="I9" s="12" t="inlineStr">
        <is>
          <t>خیلی بالا</t>
        </is>
      </c>
      <c r="J9" s="12" t="inlineStr">
        <is>
          <t>فهرست منتخب کاربر از جست‌وجوی دستی Google — seo_keywords.txt — بدون ادعای حجم یا سختی</t>
        </is>
      </c>
      <c r="K9" s="12" t="n"/>
      <c r="L9" s="12" t="n"/>
      <c r="M9" s="12" t="n"/>
      <c r="N9" s="12" t="n">
        <v>10</v>
      </c>
      <c r="O9" s="12" t="n"/>
      <c r="P9" s="12" t="n"/>
      <c r="Q9" s="12" t="n"/>
      <c r="R9" s="12" t="inlineStr">
        <is>
          <t>نامشخص</t>
        </is>
      </c>
      <c r="S9" s="12" t="inlineStr">
        <is>
          <t>EC-006</t>
        </is>
      </c>
      <c r="T9" s="30" t="n">
        <v>46262</v>
      </c>
      <c r="U9" s="12" t="inlineStr">
        <is>
          <t>Volume، KD و رتبه فقط با داده واقعی GSC/Keyword Planner تکمیل شود.</t>
        </is>
      </c>
    </row>
    <row r="10" ht="48" customHeight="1">
      <c r="A10" s="12" t="inlineStr">
        <is>
          <t>KW-007</t>
        </is>
      </c>
      <c r="B10" s="12" t="inlineStr">
        <is>
          <t>ماشین‌کاری</t>
        </is>
      </c>
      <c r="C10" s="12" t="inlineStr">
        <is>
          <t>ماشین‌کاری</t>
        </is>
      </c>
      <c r="D10" s="12" t="inlineStr">
        <is>
          <t>ماشین کاری چیست، براده برداری، فرایندهای ساخت</t>
        </is>
      </c>
      <c r="E10" s="12" t="inlineStr">
        <is>
          <t>اطلاعاتی</t>
        </is>
      </c>
      <c r="F10" s="12" t="inlineStr">
        <is>
          <t>آگاهی</t>
        </is>
      </c>
      <c r="G10" s="12" t="inlineStr">
        <is>
          <t>راهنمای جامع</t>
        </is>
      </c>
      <c r="H10" s="12" t="inlineStr">
        <is>
          <t>/fa/blog</t>
        </is>
      </c>
      <c r="I10" s="12" t="inlineStr">
        <is>
          <t>بالا</t>
        </is>
      </c>
      <c r="J10" s="12" t="inlineStr">
        <is>
          <t>فهرست منتخب کاربر از جست‌وجوی دستی Google — seo_keywords.txt — بدون ادعای حجم یا سختی</t>
        </is>
      </c>
      <c r="K10" s="12" t="n"/>
      <c r="L10" s="12" t="n"/>
      <c r="M10" s="12" t="n"/>
      <c r="N10" s="12" t="n">
        <v>10</v>
      </c>
      <c r="O10" s="12" t="n"/>
      <c r="P10" s="12" t="n"/>
      <c r="Q10" s="12" t="n"/>
      <c r="R10" s="12" t="inlineStr">
        <is>
          <t>نامشخص</t>
        </is>
      </c>
      <c r="S10" s="12" t="inlineStr">
        <is>
          <t>EC-007</t>
        </is>
      </c>
      <c r="T10" s="30" t="n">
        <v>46262</v>
      </c>
      <c r="U10" s="12" t="inlineStr">
        <is>
          <t>Volume، KD و رتبه فقط با داده واقعی GSC/Keyword Planner تکمیل شود.</t>
        </is>
      </c>
    </row>
    <row r="11" ht="48" customHeight="1">
      <c r="A11" s="12" t="inlineStr">
        <is>
          <t>KW-008</t>
        </is>
      </c>
      <c r="B11" s="12" t="inlineStr">
        <is>
          <t>مسترکم</t>
        </is>
      </c>
      <c r="C11" s="12" t="inlineStr">
        <is>
          <t>نرم‌افزار CAM</t>
        </is>
      </c>
      <c r="D11" s="12" t="inlineStr">
        <is>
          <t>Mastercam، آموزش مسترکم، برنامه نویسی CNC</t>
        </is>
      </c>
      <c r="E11" s="12" t="inlineStr">
        <is>
          <t>اطلاعاتی/تجاری</t>
        </is>
      </c>
      <c r="F11" s="12" t="inlineStr">
        <is>
          <t>بررسی</t>
        </is>
      </c>
      <c r="G11" s="12" t="inlineStr">
        <is>
          <t>راهنمای نرم‌افزار</t>
        </is>
      </c>
      <c r="H11" s="12" t="inlineStr">
        <is>
          <t>/fa/for/programmers</t>
        </is>
      </c>
      <c r="I11" s="12" t="inlineStr">
        <is>
          <t>بالا</t>
        </is>
      </c>
      <c r="J11" s="12" t="inlineStr">
        <is>
          <t>فهرست منتخب کاربر از جست‌وجوی دستی Google — seo_keywords.txt — بدون ادعای حجم یا سختی</t>
        </is>
      </c>
      <c r="K11" s="12" t="n"/>
      <c r="L11" s="12" t="n"/>
      <c r="M11" s="12" t="n"/>
      <c r="N11" s="12" t="n">
        <v>10</v>
      </c>
      <c r="O11" s="12" t="n"/>
      <c r="P11" s="12" t="n"/>
      <c r="Q11" s="12" t="n"/>
      <c r="R11" s="12" t="inlineStr">
        <is>
          <t>نامشخص</t>
        </is>
      </c>
      <c r="S11" s="12" t="inlineStr">
        <is>
          <t>EC-008</t>
        </is>
      </c>
      <c r="T11" s="30" t="n">
        <v>46262</v>
      </c>
      <c r="U11" s="12" t="inlineStr">
        <is>
          <t>Volume، KD و رتبه فقط با داده واقعی GSC/Keyword Planner تکمیل شود.</t>
        </is>
      </c>
    </row>
    <row r="12" ht="48" customHeight="1">
      <c r="A12" s="12" t="inlineStr">
        <is>
          <t>KW-009</t>
        </is>
      </c>
      <c r="B12" s="12" t="inlineStr">
        <is>
          <t>پاورمیل</t>
        </is>
      </c>
      <c r="C12" s="12" t="inlineStr">
        <is>
          <t>نرم‌افزار CAM</t>
        </is>
      </c>
      <c r="D12" s="12" t="inlineStr">
        <is>
          <t>PowerMill، آموزش پاورمیل، ماشین کاری سه بعدی</t>
        </is>
      </c>
      <c r="E12" s="12" t="inlineStr">
        <is>
          <t>اطلاعاتی/تجاری</t>
        </is>
      </c>
      <c r="F12" s="12" t="inlineStr">
        <is>
          <t>بررسی</t>
        </is>
      </c>
      <c r="G12" s="12" t="inlineStr">
        <is>
          <t>راهنمای نرم‌افزار</t>
        </is>
      </c>
      <c r="H12" s="12" t="inlineStr">
        <is>
          <t>/fa/for/programmers</t>
        </is>
      </c>
      <c r="I12" s="12" t="inlineStr">
        <is>
          <t>بالا</t>
        </is>
      </c>
      <c r="J12" s="12" t="inlineStr">
        <is>
          <t>فهرست منتخب کاربر از جست‌وجوی دستی Google — seo_keywords.txt — بدون ادعای حجم یا سختی</t>
        </is>
      </c>
      <c r="K12" s="12" t="n"/>
      <c r="L12" s="12" t="n"/>
      <c r="M12" s="12" t="n"/>
      <c r="N12" s="12" t="n">
        <v>10</v>
      </c>
      <c r="O12" s="12" t="n"/>
      <c r="P12" s="12" t="n"/>
      <c r="Q12" s="12" t="n"/>
      <c r="R12" s="12" t="inlineStr">
        <is>
          <t>نامشخص</t>
        </is>
      </c>
      <c r="S12" s="12" t="inlineStr">
        <is>
          <t>EC-009</t>
        </is>
      </c>
      <c r="T12" s="30" t="n">
        <v>46262</v>
      </c>
      <c r="U12" s="12" t="inlineStr">
        <is>
          <t>Volume، KD و رتبه فقط با داده واقعی GSC/Keyword Planner تکمیل شود.</t>
        </is>
      </c>
    </row>
    <row r="13" ht="48" customHeight="1">
      <c r="A13" s="12" t="inlineStr">
        <is>
          <t>KW-010</t>
        </is>
      </c>
      <c r="B13" s="12" t="inlineStr">
        <is>
          <t>خرید فرز</t>
        </is>
      </c>
      <c r="C13" s="12" t="inlineStr">
        <is>
          <t>خرید دستگاه CNC</t>
        </is>
      </c>
      <c r="D13" s="12" t="inlineStr">
        <is>
          <t>خرید فرز CNC، قیمت فرز، فرز نو یا کارکرده</t>
        </is>
      </c>
      <c r="E13" s="12" t="inlineStr">
        <is>
          <t>خرید</t>
        </is>
      </c>
      <c r="F13" s="12" t="inlineStr">
        <is>
          <t>تصمیم</t>
        </is>
      </c>
      <c r="G13" s="12" t="inlineStr">
        <is>
          <t>راهنمای خرید</t>
        </is>
      </c>
      <c r="H13" s="12" t="inlineStr">
        <is>
          <t>/fa/contact</t>
        </is>
      </c>
      <c r="I13" s="12" t="inlineStr">
        <is>
          <t>خیلی بالا</t>
        </is>
      </c>
      <c r="J13" s="12" t="inlineStr">
        <is>
          <t>فهرست منتخب کاربر از جست‌وجوی دستی Google — seo_keywords.txt — بدون ادعای حجم یا سختی</t>
        </is>
      </c>
      <c r="K13" s="12" t="n"/>
      <c r="L13" s="12" t="n"/>
      <c r="M13" s="12" t="n"/>
      <c r="N13" s="12" t="n">
        <v>10</v>
      </c>
      <c r="O13" s="12" t="n"/>
      <c r="P13" s="12" t="n"/>
      <c r="Q13" s="12" t="n"/>
      <c r="R13" s="12" t="inlineStr">
        <is>
          <t>نامشخص</t>
        </is>
      </c>
      <c r="S13" s="12" t="inlineStr">
        <is>
          <t>EC-010</t>
        </is>
      </c>
      <c r="T13" s="30" t="n">
        <v>46262</v>
      </c>
      <c r="U13" s="12" t="inlineStr">
        <is>
          <t>Volume، KD و رتبه فقط با داده واقعی GSC/Keyword Planner تکمیل شود.</t>
        </is>
      </c>
    </row>
    <row r="14" ht="48" customHeight="1"/>
    <row r="15" ht="48" customHeight="1"/>
    <row r="16" ht="48" customHeight="1"/>
    <row r="17" ht="48" customHeight="1"/>
    <row r="18" ht="48" customHeight="1"/>
    <row r="19" ht="48" customHeight="1"/>
    <row r="20" ht="48" customHeight="1"/>
    <row r="21" ht="48" customHeight="1"/>
    <row r="22" ht="48" customHeight="1"/>
    <row r="23" ht="48" customHeight="1"/>
    <row r="24" ht="48" customHeight="1"/>
    <row r="25" ht="48" customHeight="1"/>
    <row r="26" ht="48" customHeight="1"/>
    <row r="27" ht="48" customHeight="1"/>
    <row r="28" ht="48" customHeight="1"/>
    <row r="29" ht="48" customHeight="1"/>
    <row r="30" ht="48" customHeight="1"/>
    <row r="31" ht="48" customHeight="1"/>
    <row r="32" ht="48" customHeight="1"/>
    <row r="33" ht="48" customHeight="1"/>
    <row r="34" ht="48" customHeight="1"/>
    <row r="35" ht="48" customHeight="1"/>
    <row r="36" ht="48" customHeight="1"/>
    <row r="37" ht="48" customHeight="1"/>
    <row r="38" ht="48" customHeight="1"/>
    <row r="39" ht="48" customHeight="1"/>
    <row r="40" ht="48" customHeight="1"/>
    <row r="41" ht="48" customHeight="1"/>
    <row r="42" ht="48" customHeight="1"/>
    <row r="43" ht="48" customHeight="1"/>
    <row r="44" ht="48" customHeight="1"/>
    <row r="45" ht="48" customHeight="1"/>
    <row r="46" ht="48" customHeight="1"/>
    <row r="47" ht="48" customHeight="1"/>
    <row r="48" ht="48" customHeight="1"/>
    <row r="49" ht="48" customHeight="1"/>
    <row r="50" ht="48" customHeight="1"/>
    <row r="51" ht="48" customHeight="1"/>
    <row r="52" ht="48" customHeight="1"/>
    <row r="53" ht="48" customHeight="1"/>
    <row r="54" ht="48" customHeight="1"/>
    <row r="55" ht="48" customHeight="1"/>
    <row r="56" ht="48" customHeight="1"/>
    <row r="57" ht="48" customHeight="1"/>
    <row r="58" ht="48" customHeight="1"/>
    <row r="59" ht="48" customHeight="1"/>
    <row r="60" ht="48" customHeight="1"/>
    <row r="61" ht="48" customHeight="1"/>
    <row r="62" ht="48" customHeight="1"/>
    <row r="63" ht="48" customHeight="1"/>
  </sheetData>
  <autoFilter ref="A3:U13"/>
  <mergeCells count="2">
    <mergeCell ref="A1:U1"/>
    <mergeCell ref="A2:U2"/>
  </mergeCells>
  <conditionalFormatting sqref="I4:I63">
    <cfRule type="expression" priority="1" dxfId="0">
      <formula>I4="بالا"</formula>
    </cfRule>
  </conditionalFormatting>
  <conditionalFormatting sqref="M4:M63">
    <cfRule type="cellIs" priority="2" operator="greaterThan" dxfId="1">
      <formula>20</formula>
    </cfRule>
  </conditionalFormatting>
  <dataValidations count="5">
    <dataValidation sqref="E4:E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'_lists'!$C$1:$C$6</formula1>
    </dataValidation>
    <dataValidation sqref="F4:F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'_lists'!$D$1:$D$4</formula1>
    </dataValidation>
    <dataValidation sqref="G4:G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'_lists'!$G$1:$G$6</formula1>
    </dataValidation>
    <dataValidation sqref="I4:I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'_lists'!$B$1:$B$4</formula1>
    </dataValidation>
    <dataValidation sqref="R4:R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'_lists'!$E$1:$E$3</formula1>
    </dataValidation>
  </dataValidations>
  <pageMargins left="0.25" right="0.2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K13"/>
  <sheetViews>
    <sheetView showGridLines="0" rightToLeft="1" zoomScale="7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23" customWidth="1" min="4" max="4"/>
    <col width="42" customWidth="1" min="5" max="5"/>
    <col width="27" customWidth="1" min="6" max="6"/>
    <col width="45" customWidth="1" min="7" max="7"/>
    <col width="18" customWidth="1" min="8" max="8"/>
    <col width="14" customWidth="1" min="9" max="9"/>
    <col width="19" customWidth="1" min="10" max="10"/>
    <col width="42" customWidth="1" min="11" max="11"/>
    <col width="12" customWidth="1" min="12" max="12"/>
    <col width="55" customWidth="1" min="13" max="13"/>
    <col width="12" customWidth="1" min="14" max="14"/>
    <col width="28" customWidth="1" min="15" max="15"/>
    <col width="42" customWidth="1" min="16" max="16"/>
    <col width="55" customWidth="1" min="17" max="17"/>
    <col width="48" customWidth="1" min="18" max="18"/>
    <col width="34" customWidth="1" min="19" max="19"/>
    <col width="25" customWidth="1" min="20" max="20"/>
    <col width="40" customWidth="1" min="21" max="21"/>
    <col width="18" customWidth="1" min="22" max="22"/>
    <col width="15" customWidth="1" min="23" max="23"/>
    <col width="16" customWidth="1" min="24" max="24"/>
    <col width="34" customWidth="1" min="25" max="25"/>
    <col width="18" customWidth="1" min="26" max="26"/>
    <col width="12" customWidth="1" min="27" max="27"/>
    <col width="14" customWidth="1" min="28" max="28"/>
    <col width="16" customWidth="1" min="29" max="29"/>
    <col width="35" customWidth="1" min="30" max="30"/>
    <col width="28" customWidth="1" min="31" max="31"/>
    <col width="28" customWidth="1" min="32" max="32"/>
    <col width="65" customWidth="1" min="33" max="33"/>
    <col width="28" customWidth="1" min="34" max="34"/>
    <col width="28" customWidth="1" min="35" max="35"/>
    <col width="28" customWidth="1" min="36" max="36"/>
    <col width="28" customWidth="1" min="37" max="37"/>
  </cols>
  <sheetData>
    <row r="1" ht="38" customHeight="1">
      <c r="A1" s="1" t="inlineStr">
        <is>
          <t>تقویم اجرایی محتوای سئو</t>
        </is>
      </c>
    </row>
    <row r="2" ht="32" customHeight="1">
      <c r="A2" s="2" t="inlineStr">
        <is>
          <t>۱۰ موضوع فارسی منتخب از seo_keywords.txt؛ برنامه اجرایی، URL، تصویر و مسیر تحویل همگی با همین ۱۰ موضوع همگام شده‌اند.</t>
        </is>
      </c>
    </row>
    <row r="3" ht="34" customHeight="1">
      <c r="A3" s="11" t="inlineStr">
        <is>
          <t>شناسه</t>
        </is>
      </c>
      <c r="B3" s="11" t="inlineStr">
        <is>
          <t>هفته</t>
        </is>
      </c>
      <c r="C3" s="11" t="inlineStr">
        <is>
          <t>روز انتشار</t>
        </is>
      </c>
      <c r="D3" s="11" t="inlineStr">
        <is>
          <t>خوشه</t>
        </is>
      </c>
      <c r="E3" s="11" t="inlineStr">
        <is>
          <t>عنوان مقاله</t>
        </is>
      </c>
      <c r="F3" s="11" t="inlineStr">
        <is>
          <t>کیورد اصلی</t>
        </is>
      </c>
      <c r="G3" s="11" t="inlineStr">
        <is>
          <t>کیوردهای فرعی</t>
        </is>
      </c>
      <c r="H3" s="11" t="inlineStr">
        <is>
          <t>نیت</t>
        </is>
      </c>
      <c r="I3" s="11" t="inlineStr">
        <is>
          <t>مرحله قیف</t>
        </is>
      </c>
      <c r="J3" s="11" t="inlineStr">
        <is>
          <t>فرمت</t>
        </is>
      </c>
      <c r="K3" s="11" t="inlineStr">
        <is>
          <t>SEO Title</t>
        </is>
      </c>
      <c r="L3" s="11" t="inlineStr">
        <is>
          <t>طول Title</t>
        </is>
      </c>
      <c r="M3" s="11" t="inlineStr">
        <is>
          <t>Meta Description</t>
        </is>
      </c>
      <c r="N3" s="11" t="inlineStr">
        <is>
          <t>طول Meta</t>
        </is>
      </c>
      <c r="O3" s="11" t="inlineStr">
        <is>
          <t>Slug پیشنهادی</t>
        </is>
      </c>
      <c r="P3" s="11" t="inlineStr">
        <is>
          <t>H1</t>
        </is>
      </c>
      <c r="Q3" s="11" t="inlineStr">
        <is>
          <t>H2های پیشنهادی</t>
        </is>
      </c>
      <c r="R3" s="11" t="inlineStr">
        <is>
          <t>لینک‌های داخلی</t>
        </is>
      </c>
      <c r="S3" s="11" t="inlineStr">
        <is>
          <t>منبع ضروری</t>
        </is>
      </c>
      <c r="T3" s="11" t="inlineStr">
        <is>
          <t>CTA</t>
        </is>
      </c>
      <c r="U3" s="11" t="inlineStr">
        <is>
          <t>هدف محتوا</t>
        </is>
      </c>
      <c r="V3" s="11" t="inlineStr">
        <is>
          <t>مسئول</t>
        </is>
      </c>
      <c r="W3" s="11" t="inlineStr">
        <is>
          <t>تاریخ بریف</t>
        </is>
      </c>
      <c r="X3" s="11" t="inlineStr">
        <is>
          <t>موعد انتشار</t>
        </is>
      </c>
      <c r="Y3" s="11" t="inlineStr">
        <is>
          <t>لینک انتشار</t>
        </is>
      </c>
      <c r="Z3" s="11" t="inlineStr">
        <is>
          <t>وضعیت</t>
        </is>
      </c>
      <c r="AA3" s="11" t="inlineStr">
        <is>
          <t>اولویت</t>
        </is>
      </c>
      <c r="AB3" s="11" t="inlineStr">
        <is>
          <t>درصد پیشرفت</t>
        </is>
      </c>
      <c r="AC3" s="11" t="inlineStr">
        <is>
          <t>آخرین به‌روزرسانی</t>
        </is>
      </c>
      <c r="AD3" s="11" t="inlineStr">
        <is>
          <t>یادداشت ویراستار</t>
        </is>
      </c>
      <c r="AE3" s="11" t="inlineStr">
        <is>
          <t>URL نهایی فارسی</t>
        </is>
      </c>
      <c r="AF3" s="11" t="inlineStr">
        <is>
          <t>عنوان تصویر شاخص</t>
        </is>
      </c>
      <c r="AG3" s="11" t="inlineStr">
        <is>
          <t>پرامپت خلاصه تولید تصویر</t>
        </is>
      </c>
      <c r="AH3" s="11" t="inlineStr">
        <is>
          <t>ابعاد/فرمت</t>
        </is>
      </c>
      <c r="AI3" s="11" t="inlineStr">
        <is>
          <t>نام فایل تصویر</t>
        </is>
      </c>
      <c r="AJ3" s="11" t="inlineStr">
        <is>
          <t>متن جایگزین (alt)</t>
        </is>
      </c>
      <c r="AK3" s="11" t="inlineStr">
        <is>
          <t>مسیر پوشه تحویل</t>
        </is>
      </c>
    </row>
    <row r="4" ht="72" customHeight="1">
      <c r="A4" s="12" t="inlineStr">
        <is>
          <t>EC-001</t>
        </is>
      </c>
      <c r="B4" s="12" t="n">
        <v>1</v>
      </c>
      <c r="C4" s="12" t="inlineStr">
        <is>
          <t>سه‌شنبه</t>
        </is>
      </c>
      <c r="D4" s="12" t="inlineStr">
        <is>
          <t>برنامه‌نویسی CNC</t>
        </is>
      </c>
      <c r="E4" s="12" t="inlineStr">
        <is>
          <t>جی کد چیست؟ راهنمای کامل G-code برای دستگاه CNC</t>
        </is>
      </c>
      <c r="F4" s="12" t="inlineStr">
        <is>
          <t>جی کد</t>
        </is>
      </c>
      <c r="G4" s="12" t="inlineStr">
        <is>
          <t>G-code، کدهای G و M، برنامه CNC</t>
        </is>
      </c>
      <c r="H4" s="12" t="inlineStr">
        <is>
          <t>اطلاعاتی</t>
        </is>
      </c>
      <c r="I4" s="12" t="inlineStr">
        <is>
          <t>آگاهی</t>
        </is>
      </c>
      <c r="J4" s="12" t="inlineStr">
        <is>
          <t>راهنمای جامع</t>
        </is>
      </c>
      <c r="K4" s="12" t="inlineStr">
        <is>
          <t>جی کد چیست؟ راهنمای کامل G-code برای دستگاه CNC</t>
        </is>
      </c>
      <c r="L4" s="12">
        <f>LEN(K4)</f>
        <v/>
      </c>
      <c r="M4" s="12" t="inlineStr">
        <is>
          <t>جی کد زبان فرمان دستگاه CNC است. در این راهنمای کاربردی با ساختار G-code، کدهای اصلی، نمونه برنامه، خطاهای رایج و روش انتقال امن فایل آشنا شوید.</t>
        </is>
      </c>
      <c r="N4" s="12">
        <f>LEN(M4)</f>
        <v/>
      </c>
      <c r="O4" s="12" t="inlineStr">
        <is>
          <t>جی-کد-چیست</t>
        </is>
      </c>
      <c r="P4" s="12" t="inlineStr">
        <is>
          <t>جی کد چیست؟ راهنمای کامل G-code برای دستگاه CNC</t>
        </is>
      </c>
      <c r="Q4" s="12" t="inlineStr">
        <is>
          <t>جی کد چیست؟ | ساختار یک برنامه G-code | کدهای G و M پرکاربرد | نمونه عملی | خطاهای رایج | پرسش‌های متداول</t>
        </is>
      </c>
      <c r="R4" s="12" t="inlineStr">
        <is>
          <t>/fa/for/programmers | /fa/blog | /fa/product</t>
        </is>
      </c>
      <c r="S4" s="12" t="inlineStr">
        <is>
          <t>منابع رسمی و تجربه فنی قابل‌تأیید</t>
        </is>
      </c>
      <c r="T4" s="12" t="inlineStr">
        <is>
          <t>مطالعه مقاله مرتبط یا درخواست مشاوره</t>
        </is>
      </c>
      <c r="U4" s="12" t="inlineStr">
        <is>
          <t>پاسخ کامل به نیت «جی کد» بدون کیورد استافینگ</t>
        </is>
      </c>
      <c r="V4" s="12" t="n"/>
      <c r="W4" s="12" t="n"/>
      <c r="X4" s="29" t="n">
        <v>46266</v>
      </c>
      <c r="Y4" s="15" t="inlineStr">
        <is>
          <t>https://elecio.co/fa/blog/جی-کد-چیست</t>
        </is>
      </c>
      <c r="Z4" s="12" t="inlineStr">
        <is>
          <t>آماده نگارش</t>
        </is>
      </c>
      <c r="AA4" s="12" t="inlineStr">
        <is>
          <t>خیلی بالا</t>
        </is>
      </c>
      <c r="AB4" s="16" t="n">
        <v>70</v>
      </c>
      <c r="AC4" s="30" t="n">
        <v>46262</v>
      </c>
      <c r="AD4" s="12" t="inlineStr">
        <is>
          <t>۱ شاخص ۶۰۰×۴۰۰ + تصویر داخلی فقط در صورت افزایش فهم</t>
        </is>
      </c>
      <c r="AE4" s="12" t="inlineStr">
        <is>
          <t>https://elecio.co/fa/blog/جی-کد-چیست</t>
        </is>
      </c>
      <c r="AF4" s="12" t="inlineStr">
        <is>
          <t>ارتباط جی کد با کنترلر و دستگاه CNC</t>
        </is>
      </c>
      <c r="AG4" s="12" t="inlineStr">
        <is>
          <t>کنترلر CNC در کنار نمایش گرافیکی مسیر ابزار روی قطعه فلزی و دستگاه CNC در پس‌زمینه؛ تصویر افقی جنرال و حرفه‌ای برای مقاله صنعتی، واقع‌گرایانه، نور تمیز، ترکیب‌بندی خلوت، بدون نوشته، لوگو و واترمارک، نسبت ۳:۲، خروجی دقیق ۶۰۰×۴۰۰ پیکسل</t>
        </is>
      </c>
      <c r="AH4" s="12" t="inlineStr">
        <is>
          <t>600×400 / WebP / 3:2</t>
        </is>
      </c>
      <c r="AI4" s="12" t="inlineStr">
        <is>
          <t>جی-کد-چیست-تصویر-شاخص.webp</t>
        </is>
      </c>
      <c r="AJ4" s="12" t="inlineStr">
        <is>
          <t>نمای کنترلر CNC، مسیر ابزار و قطعه فلزی ماشین‌کاری‌شده</t>
        </is>
      </c>
      <c r="AK4" s="12" t="inlineStr">
        <is>
          <t>deliverables/Persian_SEO_Publication_Queue/EC-001-جی-کد-چیست</t>
        </is>
      </c>
    </row>
    <row r="5" ht="72" customHeight="1">
      <c r="A5" s="12" t="inlineStr">
        <is>
          <t>EC-002</t>
        </is>
      </c>
      <c r="B5" s="12" t="n">
        <v>1</v>
      </c>
      <c r="C5" s="12" t="inlineStr">
        <is>
          <t>جمعه</t>
        </is>
      </c>
      <c r="D5" s="12" t="inlineStr">
        <is>
          <t>مبانی CNC</t>
        </is>
      </c>
      <c r="E5" s="12" t="inlineStr">
        <is>
          <t>دستگاه CNC چیست؟ انواع، کاربرد و نکات انتخاب</t>
        </is>
      </c>
      <c r="F5" s="12" t="inlineStr">
        <is>
          <t>cnc دستگاه</t>
        </is>
      </c>
      <c r="G5" s="12" t="inlineStr">
        <is>
          <t>دستگاه CNC، ماشین CNC، انواع CNC</t>
        </is>
      </c>
      <c r="H5" s="12" t="inlineStr">
        <is>
          <t>اطلاعاتی/تجاری</t>
        </is>
      </c>
      <c r="I5" s="12" t="inlineStr">
        <is>
          <t>بررسی</t>
        </is>
      </c>
      <c r="J5" s="12" t="inlineStr">
        <is>
          <t>راهنمای جامع</t>
        </is>
      </c>
      <c r="K5" s="12" t="inlineStr">
        <is>
          <t>دستگاه CNC چیست؟ انواع، کاربرد و نکات انتخاب</t>
        </is>
      </c>
      <c r="L5" s="12">
        <f>LEN(K5)</f>
        <v/>
      </c>
      <c r="M5" s="12" t="inlineStr">
        <is>
          <t>دستگاه CNC چگونه کار می‌کند و چه انواعی دارد؟ اجزا، کاربردها، تفاوت مدل‌ها، هزینه‌های پنهان و معیارهای انتخاب دستگاه مناسب کارگاه را بررسی می‌کنیم.</t>
        </is>
      </c>
      <c r="N5" s="12">
        <f>LEN(M5)</f>
        <v/>
      </c>
      <c r="O5" s="12" t="inlineStr">
        <is>
          <t>دستگاه-cnc-چیست</t>
        </is>
      </c>
      <c r="P5" s="12" t="inlineStr">
        <is>
          <t>دستگاه CNC چیست؟ انواع، کاربرد و نکات انتخاب</t>
        </is>
      </c>
      <c r="Q5" s="12" t="inlineStr">
        <is>
          <t>دستگاه CNC چیست؟ | اجزای اصلی | انواع دستگاه CNC | کاربردها | معیارهای انتخاب | نگهداری و ایمنی</t>
        </is>
      </c>
      <c r="R5" s="12" t="inlineStr">
        <is>
          <t>/fa/product | /fa/blog | /fa/blog/جی-کد-چیست</t>
        </is>
      </c>
      <c r="S5" s="12" t="inlineStr">
        <is>
          <t>منابع رسمی و تجربه فنی قابل‌تأیید</t>
        </is>
      </c>
      <c r="T5" s="12" t="inlineStr">
        <is>
          <t>مطالعه مقاله مرتبط یا درخواست مشاوره</t>
        </is>
      </c>
      <c r="U5" s="12" t="inlineStr">
        <is>
          <t>پاسخ کامل به نیت «cnc دستگاه» بدون کیورد استافینگ</t>
        </is>
      </c>
      <c r="V5" s="12" t="n"/>
      <c r="W5" s="12" t="n"/>
      <c r="X5" s="29" t="n">
        <v>46269</v>
      </c>
      <c r="Y5" s="15" t="inlineStr">
        <is>
          <t>https://elecio.co/fa/blog/دستگاه-cnc-چیست</t>
        </is>
      </c>
      <c r="Z5" s="12" t="inlineStr">
        <is>
          <t>آماده نگارش</t>
        </is>
      </c>
      <c r="AA5" s="12" t="inlineStr">
        <is>
          <t>خیلی بالا</t>
        </is>
      </c>
      <c r="AB5" s="16" t="n">
        <v>70</v>
      </c>
      <c r="AC5" s="30" t="n">
        <v>46262</v>
      </c>
      <c r="AD5" s="12" t="inlineStr">
        <is>
          <t>۱ شاخص ۶۰۰×۴۰۰ + تصویر داخلی فقط در صورت افزایش فهم</t>
        </is>
      </c>
      <c r="AE5" s="12" t="inlineStr">
        <is>
          <t>https://elecio.co/fa/blog/دستگاه-cnc-چیست</t>
        </is>
      </c>
      <c r="AF5" s="12" t="inlineStr">
        <is>
          <t>نمای عمومی دستگاه CNC در محیط صنعتی</t>
        </is>
      </c>
      <c r="AG5" s="12" t="inlineStr">
        <is>
          <t>یک دستگاه CNC مدرن و کامل در کارگاه صنعتی تمیز، قطعه فلزی و ابزار برش قابل مشاهده؛ تصویر افقی جنرال و حرفه‌ای برای مقاله صنعتی، واقع‌گرایانه، نور تمیز، ترکیب‌بندی خلوت، بدون نوشته، لوگو و واترمارک، نسبت ۳:۲، خروجی دقیق ۶۰۰×۴۰۰ پیکسل</t>
        </is>
      </c>
      <c r="AH5" s="12" t="inlineStr">
        <is>
          <t>600×400 / WebP / 3:2</t>
        </is>
      </c>
      <c r="AI5" s="12" t="inlineStr">
        <is>
          <t>دستگاه-cnc-چیست-تصویر-شاخص.webp</t>
        </is>
      </c>
      <c r="AJ5" s="12" t="inlineStr">
        <is>
          <t>دستگاه CNC مدرن در یک کارگاه صنعتی تمیز</t>
        </is>
      </c>
      <c r="AK5" s="12" t="inlineStr">
        <is>
          <t>deliverables/Persian_SEO_Publication_Queue/EC-002-دستگاه-cnc-چیست</t>
        </is>
      </c>
    </row>
    <row r="6" ht="72" customHeight="1">
      <c r="A6" s="12" t="inlineStr">
        <is>
          <t>EC-003</t>
        </is>
      </c>
      <c r="B6" s="12" t="n">
        <v>2</v>
      </c>
      <c r="C6" s="12" t="inlineStr">
        <is>
          <t>دوشنبه</t>
        </is>
      </c>
      <c r="D6" s="12" t="inlineStr">
        <is>
          <t>فرز CNC</t>
        </is>
      </c>
      <c r="E6" s="12" t="inlineStr">
        <is>
          <t>فرز CNC چیست؟ راهنمای انواع، اجزا و کاربردها</t>
        </is>
      </c>
      <c r="F6" s="12" t="inlineStr">
        <is>
          <t>فرز CNC</t>
        </is>
      </c>
      <c r="G6" s="12" t="inlineStr">
        <is>
          <t>دستگاه فرز CNC، فرز سه محور، فرز صنعتی</t>
        </is>
      </c>
      <c r="H6" s="12" t="inlineStr">
        <is>
          <t>اطلاعاتی/تجاری</t>
        </is>
      </c>
      <c r="I6" s="12" t="inlineStr">
        <is>
          <t>بررسی</t>
        </is>
      </c>
      <c r="J6" s="12" t="inlineStr">
        <is>
          <t>راهنمای فنی</t>
        </is>
      </c>
      <c r="K6" s="12" t="inlineStr">
        <is>
          <t>فرز CNC چیست؟ راهنمای انواع، اجزا و کاربردها</t>
        </is>
      </c>
      <c r="L6" s="12">
        <f>LEN(K6)</f>
        <v/>
      </c>
      <c r="M6" s="12" t="inlineStr">
        <is>
          <t>با فرز CNC، انواع سه تا پنج محور، اجزای اصلی، کاربردهای صنعتی و تفاوت آن با تراش CNC آشنا شوید و معیارهای انتخاب مدل مناسب را ببینید.</t>
        </is>
      </c>
      <c r="N6" s="12">
        <f>LEN(M6)</f>
        <v/>
      </c>
      <c r="O6" s="12" t="inlineStr">
        <is>
          <t>فرز-cnc-چیست</t>
        </is>
      </c>
      <c r="P6" s="12" t="inlineStr">
        <is>
          <t>فرز CNC چیست؟ راهنمای انواع، اجزا و کاربردها</t>
        </is>
      </c>
      <c r="Q6" s="12" t="inlineStr">
        <is>
          <t>فرز CNC چگونه کار می‌کند؟ | انواع محور | اجزای اصلی | کاربردها | تفاوت فرز و تراش | معیارهای انتخاب</t>
        </is>
      </c>
      <c r="R6" s="12" t="inlineStr">
        <is>
          <t>/fa/product | /fa/blog | /fa/blog/دستگاه-cnc-چیست</t>
        </is>
      </c>
      <c r="S6" s="12" t="inlineStr">
        <is>
          <t>منابع رسمی و تجربه فنی قابل‌تأیید</t>
        </is>
      </c>
      <c r="T6" s="12" t="inlineStr">
        <is>
          <t>مطالعه مقاله مرتبط یا درخواست مشاوره</t>
        </is>
      </c>
      <c r="U6" s="12" t="inlineStr">
        <is>
          <t>پاسخ کامل به نیت «فرز CNC» بدون کیورد استافینگ</t>
        </is>
      </c>
      <c r="V6" s="12" t="n"/>
      <c r="W6" s="12" t="n"/>
      <c r="X6" s="29" t="n">
        <v>46272</v>
      </c>
      <c r="Y6" s="15" t="inlineStr">
        <is>
          <t>https://elecio.co/fa/blog/فرز-cnc-چیست</t>
        </is>
      </c>
      <c r="Z6" s="12" t="inlineStr">
        <is>
          <t>آماده نگارش</t>
        </is>
      </c>
      <c r="AA6" s="12" t="inlineStr">
        <is>
          <t>خیلی بالا</t>
        </is>
      </c>
      <c r="AB6" s="16" t="n">
        <v>70</v>
      </c>
      <c r="AC6" s="30" t="n">
        <v>46262</v>
      </c>
      <c r="AD6" s="12" t="inlineStr">
        <is>
          <t>۱ شاخص ۶۰۰×۴۰۰ + تصویر داخلی فقط در صورت افزایش فهم</t>
        </is>
      </c>
      <c r="AE6" s="12" t="inlineStr">
        <is>
          <t>https://elecio.co/fa/blog/فرز-cnc-چیست</t>
        </is>
      </c>
      <c r="AF6" s="12" t="inlineStr">
        <is>
          <t>فرز CNC هنگام ماشین‌کاری قطعه فلزی</t>
        </is>
      </c>
      <c r="AG6" s="12" t="inlineStr">
        <is>
          <t>نمای نزدیک اسپیندل فرز CNC هنگام براده‌برداری دقیق از قطعه آلومینیومی، پاشش کنترل‌شده خنک‌کننده؛ تصویر افقی جنرال و حرفه‌ای برای مقاله صنعتی، واقع‌گرایانه، نور تمیز، ترکیب‌بندی خلوت، بدون نوشته، لوگو و واترمارک، نسبت ۳:۲، خروجی دقیق ۶۰۰×۴۰۰ پیکسل</t>
        </is>
      </c>
      <c r="AH6" s="12" t="inlineStr">
        <is>
          <t>600×400 / WebP / 3:2</t>
        </is>
      </c>
      <c r="AI6" s="12" t="inlineStr">
        <is>
          <t>فرز-cnc-چیست-تصویر-شاخص.webp</t>
        </is>
      </c>
      <c r="AJ6" s="12" t="inlineStr">
        <is>
          <t>اسپیندل فرز CNC در حال براده‌برداری از قطعه فلزی</t>
        </is>
      </c>
      <c r="AK6" s="12" t="inlineStr">
        <is>
          <t>deliverables/Persian_SEO_Publication_Queue/EC-003-فرز-cnc-چیست</t>
        </is>
      </c>
    </row>
    <row r="7" ht="72" customHeight="1">
      <c r="A7" s="12" t="inlineStr">
        <is>
          <t>EC-004</t>
        </is>
      </c>
      <c r="B7" s="12" t="n">
        <v>2</v>
      </c>
      <c r="C7" s="12" t="inlineStr">
        <is>
          <t>پنج‌شنبه</t>
        </is>
      </c>
      <c r="D7" s="12" t="inlineStr">
        <is>
          <t>اتوماسیون صنعتی</t>
        </is>
      </c>
      <c r="E7" s="12" t="inlineStr">
        <is>
          <t>اتوماسیون صنعتی چیست؟ اجزا، سطوح و کاربردها</t>
        </is>
      </c>
      <c r="F7" s="12" t="inlineStr">
        <is>
          <t>اتوماسیون صنعتی</t>
        </is>
      </c>
      <c r="G7" s="12" t="inlineStr">
        <is>
          <t>کنترل صنعتی، هوشمندسازی کارخانه، مانیتورینگ تولید</t>
        </is>
      </c>
      <c r="H7" s="12" t="inlineStr">
        <is>
          <t>اطلاعاتی/تجاری</t>
        </is>
      </c>
      <c r="I7" s="12" t="inlineStr">
        <is>
          <t>بررسی</t>
        </is>
      </c>
      <c r="J7" s="12" t="inlineStr">
        <is>
          <t>راهنمای جامع</t>
        </is>
      </c>
      <c r="K7" s="12" t="inlineStr">
        <is>
          <t>اتوماسیون صنعتی چیست؟ اجزا، سطوح و کاربردها</t>
        </is>
      </c>
      <c r="L7" s="12">
        <f>LEN(K7)</f>
        <v/>
      </c>
      <c r="M7" s="12" t="inlineStr">
        <is>
          <t>اتوماسیون صنعتی از حسگر و PLC تا مانیتورینگ و نرم‌افزار تولید چگونه کار می‌کند؟ اجزا، سطوح، مزایا، ریسک‌ها و مسیر شروع در کارگاه را بخوانید.</t>
        </is>
      </c>
      <c r="N7" s="12">
        <f>LEN(M7)</f>
        <v/>
      </c>
      <c r="O7" s="12" t="inlineStr">
        <is>
          <t>اتوماسیون-صنعتی-چیست</t>
        </is>
      </c>
      <c r="P7" s="12" t="inlineStr">
        <is>
          <t>اتوماسیون صنعتی چیست؟ اجزا، سطوح و کاربردها</t>
        </is>
      </c>
      <c r="Q7" s="12" t="inlineStr">
        <is>
          <t>تعریف اتوماسیون صنعتی | اجزای اصلی | سطوح اتوماسیون | PLC و شبکه | مزایا و ریسک‌ها | نقشه شروع</t>
        </is>
      </c>
      <c r="R7" s="12" t="inlineStr">
        <is>
          <t>/fa/software | /fa/blog | /fa/blog/فرز-cnc-چیست</t>
        </is>
      </c>
      <c r="S7" s="12" t="inlineStr">
        <is>
          <t>منابع رسمی و تجربه فنی قابل‌تأیید</t>
        </is>
      </c>
      <c r="T7" s="12" t="inlineStr">
        <is>
          <t>مطالعه مقاله مرتبط یا درخواست مشاوره</t>
        </is>
      </c>
      <c r="U7" s="12" t="inlineStr">
        <is>
          <t>پاسخ کامل به نیت «اتوماسیون صنعتی» بدون کیورد استافینگ</t>
        </is>
      </c>
      <c r="V7" s="12" t="n"/>
      <c r="W7" s="12" t="n"/>
      <c r="X7" s="29" t="n">
        <v>46275</v>
      </c>
      <c r="Y7" s="15" t="inlineStr">
        <is>
          <t>https://elecio.co/fa/blog/اتوماسیون-صنعتی-چیست</t>
        </is>
      </c>
      <c r="Z7" s="12" t="inlineStr">
        <is>
          <t>آماده نگارش</t>
        </is>
      </c>
      <c r="AA7" s="12" t="inlineStr">
        <is>
          <t>بالا</t>
        </is>
      </c>
      <c r="AB7" s="16" t="n">
        <v>70</v>
      </c>
      <c r="AC7" s="30" t="n">
        <v>46262</v>
      </c>
      <c r="AD7" s="12" t="inlineStr">
        <is>
          <t>۱ شاخص ۶۰۰×۴۰۰ + تصویر داخلی فقط در صورت افزایش فهم</t>
        </is>
      </c>
      <c r="AE7" s="12" t="inlineStr">
        <is>
          <t>https://elecio.co/fa/blog/اتوماسیون-صنعتی-چیست</t>
        </is>
      </c>
      <c r="AF7" s="12" t="inlineStr">
        <is>
          <t>زنجیره اتوماسیون در کارخانه هوشمند</t>
        </is>
      </c>
      <c r="AG7" s="12" t="inlineStr">
        <is>
          <t>خط تولید خودکار در کارخانه هوشمند شامل ربات صنعتی، حسگرها، نوار نقاله و تابلو کنترل، بدون رابط کاربری خوانا؛ تصویر افقی جنرال و حرفه‌ای برای مقاله صنعتی، واقع‌گرایانه، نور تمیز، ترکیب‌بندی خلوت، بدون نوشته، لوگو و واترمارک، نسبت ۳:۲، خروجی دقیق ۶۰۰×۴۰۰ پیکسل</t>
        </is>
      </c>
      <c r="AH7" s="12" t="inlineStr">
        <is>
          <t>600×400 / WebP / 3:2</t>
        </is>
      </c>
      <c r="AI7" s="12" t="inlineStr">
        <is>
          <t>اتوماسیون-صنعتی-چیست-تصویر-شاخص.webp</t>
        </is>
      </c>
      <c r="AJ7" s="12" t="inlineStr">
        <is>
          <t>خط تولید خودکار با ربات، حسگر و تابلو کنترل صنعتی</t>
        </is>
      </c>
      <c r="AK7" s="12" t="inlineStr">
        <is>
          <t>deliverables/Persian_SEO_Publication_Queue/EC-004-اتوماسیون-صنعتی-چیست</t>
        </is>
      </c>
    </row>
    <row r="8" ht="72" customHeight="1">
      <c r="A8" s="12" t="inlineStr">
        <is>
          <t>EC-005</t>
        </is>
      </c>
      <c r="B8" s="12" t="n">
        <v>3</v>
      </c>
      <c r="C8" s="12" t="inlineStr">
        <is>
          <t>یکشنبه</t>
        </is>
      </c>
      <c r="D8" s="12" t="inlineStr">
        <is>
          <t>کنترل صنعتی</t>
        </is>
      </c>
      <c r="E8" s="12" t="inlineStr">
        <is>
          <t>PLC چیست؟ راهنمای کنترل‌گر منطقی برنامه‌پذیر</t>
        </is>
      </c>
      <c r="F8" s="12" t="inlineStr">
        <is>
          <t>plc</t>
        </is>
      </c>
      <c r="G8" s="12" t="inlineStr">
        <is>
          <t>PLC چیست، کنترل‌گر منطقی برنامه‌پذیر، برنامه نویسی PLC</t>
        </is>
      </c>
      <c r="H8" s="12" t="inlineStr">
        <is>
          <t>اطلاعاتی</t>
        </is>
      </c>
      <c r="I8" s="12" t="inlineStr">
        <is>
          <t>آگاهی</t>
        </is>
      </c>
      <c r="J8" s="12" t="inlineStr">
        <is>
          <t>آموزش فنی</t>
        </is>
      </c>
      <c r="K8" s="12" t="inlineStr">
        <is>
          <t>PLC چیست؟ راهنمای کنترل‌گر منطقی برنامه‌پذیر</t>
        </is>
      </c>
      <c r="L8" s="12">
        <f>LEN(K8)</f>
        <v/>
      </c>
      <c r="M8" s="12" t="inlineStr">
        <is>
          <t>PLC قلب بسیاری از سامانه‌های کنترل صنعتی است. ساختار، ورودی و خروجی، چرخه اسکن، زبان‌های برنامه‌نویسی و معیارهای انتخاب PLC را ساده و فنی بیاموزید.</t>
        </is>
      </c>
      <c r="N8" s="12">
        <f>LEN(M8)</f>
        <v/>
      </c>
      <c r="O8" s="12" t="inlineStr">
        <is>
          <t>plc-چیست</t>
        </is>
      </c>
      <c r="P8" s="12" t="inlineStr">
        <is>
          <t>PLC چیست؟ راهنمای کنترل‌گر منطقی برنامه‌پذیر</t>
        </is>
      </c>
      <c r="Q8" s="12" t="inlineStr">
        <is>
          <t>PLC چیست؟ | اجزای PLC | چرخه اسکن | ورودی و خروجی | زبان‌های برنامه‌نویسی | انتخاب PLC</t>
        </is>
      </c>
      <c r="R8" s="12" t="inlineStr">
        <is>
          <t>/fa/software | /fa/blog | /fa/blog/اتوماسیون-صنعتی-چیست</t>
        </is>
      </c>
      <c r="S8" s="12" t="inlineStr">
        <is>
          <t>منابع رسمی و تجربه فنی قابل‌تأیید</t>
        </is>
      </c>
      <c r="T8" s="12" t="inlineStr">
        <is>
          <t>مطالعه مقاله مرتبط یا درخواست مشاوره</t>
        </is>
      </c>
      <c r="U8" s="12" t="inlineStr">
        <is>
          <t>پاسخ کامل به نیت «plc» بدون کیورد استافینگ</t>
        </is>
      </c>
      <c r="V8" s="12" t="n"/>
      <c r="W8" s="12" t="n"/>
      <c r="X8" s="29" t="n">
        <v>46278</v>
      </c>
      <c r="Y8" s="15" t="inlineStr">
        <is>
          <t>https://elecio.co/fa/blog/plc-چیست</t>
        </is>
      </c>
      <c r="Z8" s="12" t="inlineStr">
        <is>
          <t>آماده نگارش</t>
        </is>
      </c>
      <c r="AA8" s="12" t="inlineStr">
        <is>
          <t>بالا</t>
        </is>
      </c>
      <c r="AB8" s="16" t="n">
        <v>70</v>
      </c>
      <c r="AC8" s="30" t="n">
        <v>46262</v>
      </c>
      <c r="AD8" s="12" t="inlineStr">
        <is>
          <t>۱ شاخص ۶۰۰×۴۰۰ + تصویر داخلی فقط در صورت افزایش فهم</t>
        </is>
      </c>
      <c r="AE8" s="12" t="inlineStr">
        <is>
          <t>https://elecio.co/fa/blog/plc-چیست</t>
        </is>
      </c>
      <c r="AF8" s="12" t="inlineStr">
        <is>
          <t>PLC و اجزای تابلو کنترل صنعتی</t>
        </is>
      </c>
      <c r="AG8" s="12" t="inlineStr">
        <is>
          <t>نمای حرفه‌ای یک ماژول PLC در تابلو کنترل صنعتی با ماژول‌های ورودی و خروجی و سیم‌کشی منظم؛ تصویر افقی جنرال و حرفه‌ای برای مقاله صنعتی، واقع‌گرایانه، نور تمیز، ترکیب‌بندی خلوت، بدون نوشته، لوگو و واترمارک، نسبت ۳:۲، خروجی دقیق ۶۰۰×۴۰۰ پیکسل</t>
        </is>
      </c>
      <c r="AH8" s="12" t="inlineStr">
        <is>
          <t>600×400 / WebP / 3:2</t>
        </is>
      </c>
      <c r="AI8" s="12" t="inlineStr">
        <is>
          <t>plc-چیست-تصویر-شاخص.webp</t>
        </is>
      </c>
      <c r="AJ8" s="12" t="inlineStr">
        <is>
          <t>ماژول PLC، ورودی و خروجی و سیم‌کشی منظم تابلو برق</t>
        </is>
      </c>
      <c r="AK8" s="12" t="inlineStr">
        <is>
          <t>deliverables/Persian_SEO_Publication_Queue/EC-005-plc-چیست</t>
        </is>
      </c>
    </row>
    <row r="9" ht="72" customHeight="1">
      <c r="A9" s="12" t="inlineStr">
        <is>
          <t>EC-006</t>
        </is>
      </c>
      <c r="B9" s="12" t="n">
        <v>3</v>
      </c>
      <c r="C9" s="12" t="inlineStr">
        <is>
          <t>چهارشنبه</t>
        </is>
      </c>
      <c r="D9" s="12" t="inlineStr">
        <is>
          <t>تراش CNC</t>
        </is>
      </c>
      <c r="E9" s="12" t="inlineStr">
        <is>
          <t>تراش CNC چیست؟ اجزا، عملیات و نکات انتخاب</t>
        </is>
      </c>
      <c r="F9" s="12" t="inlineStr">
        <is>
          <t>تراش cnc</t>
        </is>
      </c>
      <c r="G9" s="12" t="inlineStr">
        <is>
          <t>دستگاه تراش CNC، تراشکاری CNC، محور C</t>
        </is>
      </c>
      <c r="H9" s="12" t="inlineStr">
        <is>
          <t>اطلاعاتی/تجاری</t>
        </is>
      </c>
      <c r="I9" s="12" t="inlineStr">
        <is>
          <t>بررسی</t>
        </is>
      </c>
      <c r="J9" s="12" t="inlineStr">
        <is>
          <t>راهنمای فنی</t>
        </is>
      </c>
      <c r="K9" s="12" t="inlineStr">
        <is>
          <t>تراش CNC چیست؟ اجزا، عملیات و نکات انتخاب</t>
        </is>
      </c>
      <c r="L9" s="12">
        <f>LEN(K9)</f>
        <v/>
      </c>
      <c r="M9" s="12" t="inlineStr">
        <is>
          <t>تراش CNC چگونه قطعات دقیق تولید می‌کند؟ اجزا، محور‌ها، عملیات رایج، تفاوت با فرز CNC، ابزارها و معیارهای انتخاب دستگاه مناسب را بررسی کنید.</t>
        </is>
      </c>
      <c r="N9" s="12">
        <f>LEN(M9)</f>
        <v/>
      </c>
      <c r="O9" s="12" t="inlineStr">
        <is>
          <t>تراش-cnc-چیست</t>
        </is>
      </c>
      <c r="P9" s="12" t="inlineStr">
        <is>
          <t>تراش CNC چیست؟ اجزا، عملیات و نکات انتخاب</t>
        </is>
      </c>
      <c r="Q9" s="12" t="inlineStr">
        <is>
          <t>تراش CNC چگونه کار می‌کند؟ | اجزای دستگاه | عملیات تراشکاری | ابزار و آفست | تفاوت با فرز | معیارهای انتخاب</t>
        </is>
      </c>
      <c r="R9" s="12" t="inlineStr">
        <is>
          <t>/fa/product | /fa/blog | /fa/blog/plc-چیست</t>
        </is>
      </c>
      <c r="S9" s="12" t="inlineStr">
        <is>
          <t>منابع رسمی و تجربه فنی قابل‌تأیید</t>
        </is>
      </c>
      <c r="T9" s="12" t="inlineStr">
        <is>
          <t>مطالعه مقاله مرتبط یا درخواست مشاوره</t>
        </is>
      </c>
      <c r="U9" s="12" t="inlineStr">
        <is>
          <t>پاسخ کامل به نیت «تراش cnc» بدون کیورد استافینگ</t>
        </is>
      </c>
      <c r="V9" s="12" t="n"/>
      <c r="W9" s="12" t="n"/>
      <c r="X9" s="29" t="n">
        <v>46281</v>
      </c>
      <c r="Y9" s="15" t="inlineStr">
        <is>
          <t>https://elecio.co/fa/blog/تراش-cnc-چیست</t>
        </is>
      </c>
      <c r="Z9" s="12" t="inlineStr">
        <is>
          <t>آماده نگارش</t>
        </is>
      </c>
      <c r="AA9" s="12" t="inlineStr">
        <is>
          <t>خیلی بالا</t>
        </is>
      </c>
      <c r="AB9" s="16" t="n">
        <v>70</v>
      </c>
      <c r="AC9" s="30" t="n">
        <v>46262</v>
      </c>
      <c r="AD9" s="12" t="inlineStr">
        <is>
          <t>۱ شاخص ۶۰۰×۴۰۰ + تصویر داخلی فقط در صورت افزایش فهم</t>
        </is>
      </c>
      <c r="AE9" s="12" t="inlineStr">
        <is>
          <t>https://elecio.co/fa/blog/تراش-cnc-چیست</t>
        </is>
      </c>
      <c r="AF9" s="12" t="inlineStr">
        <is>
          <t>عملیات تراشکاری با دستگاه تراش CNC</t>
        </is>
      </c>
      <c r="AG9" s="12" t="inlineStr">
        <is>
          <t>نمای نزدیک سه‌نظام و ابزار دستگاه تراش CNC هنگام شکل‌دهی قطعه فلزی استوانه‌ای با براده‌های کنترل‌شده؛ تصویر افقی جنرال و حرفه‌ای برای مقاله صنعتی، واقع‌گرایانه، نور تمیز، ترکیب‌بندی خلوت، بدون نوشته، لوگو و واترمارک، نسبت ۳:۲، خروجی دقیق ۶۰۰×۴۰۰ پیکسل</t>
        </is>
      </c>
      <c r="AH9" s="12" t="inlineStr">
        <is>
          <t>600×400 / WebP / 3:2</t>
        </is>
      </c>
      <c r="AI9" s="12" t="inlineStr">
        <is>
          <t>تراش-cnc-چیست-تصویر-شاخص.webp</t>
        </is>
      </c>
      <c r="AJ9" s="12" t="inlineStr">
        <is>
          <t>سه‌نظام و ابزار دستگاه تراش CNC در حال تولید قطعه فلزی</t>
        </is>
      </c>
      <c r="AK9" s="12" t="inlineStr">
        <is>
          <t>deliverables/Persian_SEO_Publication_Queue/EC-006-تراش-cnc-چیست</t>
        </is>
      </c>
    </row>
    <row r="10" ht="72" customHeight="1">
      <c r="A10" s="12" t="inlineStr">
        <is>
          <t>EC-007</t>
        </is>
      </c>
      <c r="B10" s="12" t="n">
        <v>4</v>
      </c>
      <c r="C10" s="12" t="inlineStr">
        <is>
          <t>شنبه</t>
        </is>
      </c>
      <c r="D10" s="12" t="inlineStr">
        <is>
          <t>ماشین‌کاری</t>
        </is>
      </c>
      <c r="E10" s="12" t="inlineStr">
        <is>
          <t>ماشین‌کاری چیست؟ فرایندها، ابزارها و کاربردها</t>
        </is>
      </c>
      <c r="F10" s="12" t="inlineStr">
        <is>
          <t>ماشین‌کاری</t>
        </is>
      </c>
      <c r="G10" s="12" t="inlineStr">
        <is>
          <t>ماشین کاری چیست، براده برداری، فرایندهای ساخت</t>
        </is>
      </c>
      <c r="H10" s="12" t="inlineStr">
        <is>
          <t>اطلاعاتی</t>
        </is>
      </c>
      <c r="I10" s="12" t="inlineStr">
        <is>
          <t>آگاهی</t>
        </is>
      </c>
      <c r="J10" s="12" t="inlineStr">
        <is>
          <t>راهنمای جامع</t>
        </is>
      </c>
      <c r="K10" s="12" t="inlineStr">
        <is>
          <t>ماشین‌کاری چیست؟ فرایندها، ابزارها و کاربردها</t>
        </is>
      </c>
      <c r="L10" s="12">
        <f>LEN(K10)</f>
        <v/>
      </c>
      <c r="M10" s="12" t="inlineStr">
        <is>
          <t>ماشین‌کاری مجموعه فرایندهای ساخت با حذف ماده است. تراش، فرز، سوراخ‌کاری، سنگ‌زنی، پارامترهای برش و نقش CNC در تولید دقیق را مرور می‌کنیم.</t>
        </is>
      </c>
      <c r="N10" s="12">
        <f>LEN(M10)</f>
        <v/>
      </c>
      <c r="O10" s="12" t="inlineStr">
        <is>
          <t>ماشین-کاری-چیست</t>
        </is>
      </c>
      <c r="P10" s="12" t="inlineStr">
        <is>
          <t>ماشین‌کاری چیست؟ فرایندها، ابزارها و کاربردها</t>
        </is>
      </c>
      <c r="Q10" s="12" t="inlineStr">
        <is>
          <t>تعریف ماشین‌کاری | فرایندهای اصلی | ابزار برش | پارامترهای برش | دقت و کیفیت سطح | نقش CNC</t>
        </is>
      </c>
      <c r="R10" s="12" t="inlineStr">
        <is>
          <t>/fa/blog | /fa/blog | /fa/blog/تراش-cnc-چیست</t>
        </is>
      </c>
      <c r="S10" s="12" t="inlineStr">
        <is>
          <t>منابع رسمی و تجربه فنی قابل‌تأیید</t>
        </is>
      </c>
      <c r="T10" s="12" t="inlineStr">
        <is>
          <t>مطالعه مقاله مرتبط یا درخواست مشاوره</t>
        </is>
      </c>
      <c r="U10" s="12" t="inlineStr">
        <is>
          <t>پاسخ کامل به نیت «ماشین‌کاری» بدون کیورد استافینگ</t>
        </is>
      </c>
      <c r="V10" s="12" t="n"/>
      <c r="W10" s="12" t="n"/>
      <c r="X10" s="29" t="n">
        <v>46284</v>
      </c>
      <c r="Y10" s="15" t="inlineStr">
        <is>
          <t>https://elecio.co/fa/blog/ماشین-کاری-چیست</t>
        </is>
      </c>
      <c r="Z10" s="12" t="inlineStr">
        <is>
          <t>آماده نگارش</t>
        </is>
      </c>
      <c r="AA10" s="12" t="inlineStr">
        <is>
          <t>بالا</t>
        </is>
      </c>
      <c r="AB10" s="16" t="n">
        <v>70</v>
      </c>
      <c r="AC10" s="30" t="n">
        <v>46262</v>
      </c>
      <c r="AD10" s="12" t="inlineStr">
        <is>
          <t>۱ شاخص ۶۰۰×۴۰۰ + تصویر داخلی فقط در صورت افزایش فهم</t>
        </is>
      </c>
      <c r="AE10" s="12" t="inlineStr">
        <is>
          <t>https://elecio.co/fa/blog/ماشین-کاری-چیست</t>
        </is>
      </c>
      <c r="AF10" s="12" t="inlineStr">
        <is>
          <t>نمای عمومی فرایندهای ماشین‌کاری فلز</t>
        </is>
      </c>
      <c r="AG10" s="12" t="inlineStr">
        <is>
          <t>چیدمان صنعتی منظم از ابزار فرز، ابزار تراش، مته و چند قطعه فلزی دقیق ماشین‌کاری‌شده روی میز کار؛ تصویر افقی جنرال و حرفه‌ای برای مقاله صنعتی، واقع‌گرایانه، نور تمیز، ترکیب‌بندی خلوت، بدون نوشته، لوگو و واترمارک، نسبت ۳:۲، خروجی دقیق ۶۰۰×۴۰۰ پیکسل</t>
        </is>
      </c>
      <c r="AH10" s="12" t="inlineStr">
        <is>
          <t>600×400 / WebP / 3:2</t>
        </is>
      </c>
      <c r="AI10" s="12" t="inlineStr">
        <is>
          <t>ماشین-کاری-چیست-تصویر-شاخص.webp</t>
        </is>
      </c>
      <c r="AJ10" s="12" t="inlineStr">
        <is>
          <t>ابزارهای فرز، تراش و سوراخ‌کاری در کنار قطعات ماشین‌کاری‌شده</t>
        </is>
      </c>
      <c r="AK10" s="12" t="inlineStr">
        <is>
          <t>deliverables/Persian_SEO_Publication_Queue/EC-007-ماشین-کاری-چیست</t>
        </is>
      </c>
    </row>
    <row r="11" ht="72" customHeight="1">
      <c r="A11" s="12" t="inlineStr">
        <is>
          <t>EC-008</t>
        </is>
      </c>
      <c r="B11" s="12" t="n">
        <v>4</v>
      </c>
      <c r="C11" s="12" t="inlineStr">
        <is>
          <t>سه‌شنبه</t>
        </is>
      </c>
      <c r="D11" s="12" t="inlineStr">
        <is>
          <t>نرم‌افزار CAM</t>
        </is>
      </c>
      <c r="E11" s="12" t="inlineStr">
        <is>
          <t>مسترکم چیست؟ کاربرد Mastercam در برنامه‌نویسی CNC</t>
        </is>
      </c>
      <c r="F11" s="12" t="inlineStr">
        <is>
          <t>مسترکم</t>
        </is>
      </c>
      <c r="G11" s="12" t="inlineStr">
        <is>
          <t>Mastercam، آموزش مسترکم، برنامه نویسی CNC</t>
        </is>
      </c>
      <c r="H11" s="12" t="inlineStr">
        <is>
          <t>اطلاعاتی/تجاری</t>
        </is>
      </c>
      <c r="I11" s="12" t="inlineStr">
        <is>
          <t>بررسی</t>
        </is>
      </c>
      <c r="J11" s="12" t="inlineStr">
        <is>
          <t>راهنمای نرم‌افزار</t>
        </is>
      </c>
      <c r="K11" s="12" t="inlineStr">
        <is>
          <t>مسترکم چیست؟ کاربرد Mastercam در برنامه‌نویسی CNC</t>
        </is>
      </c>
      <c r="L11" s="12">
        <f>LEN(K11)</f>
        <v/>
      </c>
      <c r="M11" s="12" t="inlineStr">
        <is>
          <t>مسترکم چگونه مسیر ابزار و جی کد تولید می‌کند؟ محیط‌ها، گردش کار CAD/CAM، پست‌پروسسور، شبیه‌سازی و نکات انتخاب و یادگیری Mastercam را بخوانید.</t>
        </is>
      </c>
      <c r="N11" s="12">
        <f>LEN(M11)</f>
        <v/>
      </c>
      <c r="O11" s="12" t="inlineStr">
        <is>
          <t>مسترکم-چیست</t>
        </is>
      </c>
      <c r="P11" s="12" t="inlineStr">
        <is>
          <t>مسترکم چیست؟ کاربرد Mastercam در برنامه‌نویسی CNC</t>
        </is>
      </c>
      <c r="Q11" s="12" t="inlineStr">
        <is>
          <t>مسترکم چیست؟ | گردش کار CAD/CAM | مسیر ابزار | پست‌پروسسور | شبیه‌سازی | نکات یادگیری</t>
        </is>
      </c>
      <c r="R11" s="12" t="inlineStr">
        <is>
          <t>/fa/for/programmers | /fa/blog | /fa/blog/ماشین-کاری-چیست</t>
        </is>
      </c>
      <c r="S11" s="12" t="inlineStr">
        <is>
          <t>منابع رسمی و تجربه فنی قابل‌تأیید</t>
        </is>
      </c>
      <c r="T11" s="12" t="inlineStr">
        <is>
          <t>مطالعه مقاله مرتبط یا درخواست مشاوره</t>
        </is>
      </c>
      <c r="U11" s="12" t="inlineStr">
        <is>
          <t>پاسخ کامل به نیت «مسترکم» بدون کیورد استافینگ</t>
        </is>
      </c>
      <c r="V11" s="12" t="n"/>
      <c r="W11" s="12" t="n"/>
      <c r="X11" s="29" t="n">
        <v>46287</v>
      </c>
      <c r="Y11" s="15" t="inlineStr">
        <is>
          <t>https://elecio.co/fa/blog/مسترکم-چیست</t>
        </is>
      </c>
      <c r="Z11" s="12" t="inlineStr">
        <is>
          <t>آماده نگارش</t>
        </is>
      </c>
      <c r="AA11" s="12" t="inlineStr">
        <is>
          <t>بالا</t>
        </is>
      </c>
      <c r="AB11" s="16" t="n">
        <v>70</v>
      </c>
      <c r="AC11" s="30" t="n">
        <v>46262</v>
      </c>
      <c r="AD11" s="12" t="inlineStr">
        <is>
          <t>۱ شاخص ۶۰۰×۴۰۰ + تصویر داخلی فقط در صورت افزایش فهم</t>
        </is>
      </c>
      <c r="AE11" s="12" t="inlineStr">
        <is>
          <t>https://elecio.co/fa/blog/مسترکم-چیست</t>
        </is>
      </c>
      <c r="AF11" s="12" t="inlineStr">
        <is>
          <t>طراحی مسیر ابزار CAM برای دستگاه CNC</t>
        </is>
      </c>
      <c r="AG11" s="12" t="inlineStr">
        <is>
          <t>ایستگاه کاری مهندسی با مدل سه‌بعدی قطعه و مسیر ابزار CAM رنگی روی نمایشگر، دستگاه CNC محو در پس‌زمینه، بدون برند و متن خوانا؛ تصویر افقی جنرال و حرفه‌ای برای مقاله صنعتی، واقع‌گرایانه، نور تمیز، ترکیب‌بندی خلوت، بدون نوشته، لوگو و واترمارک، نسبت ۳:۲، خروجی دقیق ۶۰۰×۴۰۰ پیکسل</t>
        </is>
      </c>
      <c r="AH11" s="12" t="inlineStr">
        <is>
          <t>600×400 / WebP / 3:2</t>
        </is>
      </c>
      <c r="AI11" s="12" t="inlineStr">
        <is>
          <t>مسترکم-چیست-تصویر-شاخص.webp</t>
        </is>
      </c>
      <c r="AJ11" s="12" t="inlineStr">
        <is>
          <t>مدل سه‌بعدی قطعه و مسیر ابزار رنگی روی نمایشگر مهندسی</t>
        </is>
      </c>
      <c r="AK11" s="12" t="inlineStr">
        <is>
          <t>deliverables/Persian_SEO_Publication_Queue/EC-008-مسترکم-چیست</t>
        </is>
      </c>
    </row>
    <row r="12" ht="72" customHeight="1">
      <c r="A12" s="12" t="inlineStr">
        <is>
          <t>EC-009</t>
        </is>
      </c>
      <c r="B12" s="12" t="n">
        <v>5</v>
      </c>
      <c r="C12" s="12" t="inlineStr">
        <is>
          <t>جمعه</t>
        </is>
      </c>
      <c r="D12" s="12" t="inlineStr">
        <is>
          <t>نرم‌افزار CAM</t>
        </is>
      </c>
      <c r="E12" s="12" t="inlineStr">
        <is>
          <t>پاورمیل چیست؟ کاربرد PowerMill در ماشین‌کاری CNC</t>
        </is>
      </c>
      <c r="F12" s="12" t="inlineStr">
        <is>
          <t>پاورمیل</t>
        </is>
      </c>
      <c r="G12" s="12" t="inlineStr">
        <is>
          <t>PowerMill، آموزش پاورمیل، ماشین کاری سه بعدی</t>
        </is>
      </c>
      <c r="H12" s="12" t="inlineStr">
        <is>
          <t>اطلاعاتی/تجاری</t>
        </is>
      </c>
      <c r="I12" s="12" t="inlineStr">
        <is>
          <t>بررسی</t>
        </is>
      </c>
      <c r="J12" s="12" t="inlineStr">
        <is>
          <t>راهنمای نرم‌افزار</t>
        </is>
      </c>
      <c r="K12" s="12" t="inlineStr">
        <is>
          <t>پاورمیل چیست؟ کاربرد PowerMill در ماشین‌کاری CNC</t>
        </is>
      </c>
      <c r="L12" s="12">
        <f>LEN(K12)</f>
        <v/>
      </c>
      <c r="M12" s="12" t="inlineStr">
        <is>
          <t>PowerMill برای ساخت مسیر ابزار قطعات پیچیده چگونه استفاده می‌شود؟ استراتژی‌های خشن‌کاری و پرداخت، شبیه‌سازی، پست‌پروسسور و گردش کار را بررسی کنید.</t>
        </is>
      </c>
      <c r="N12" s="12">
        <f>LEN(M12)</f>
        <v/>
      </c>
      <c r="O12" s="12" t="inlineStr">
        <is>
          <t>پاورمیل-چیست</t>
        </is>
      </c>
      <c r="P12" s="12" t="inlineStr">
        <is>
          <t>پاورمیل چیست؟ کاربرد PowerMill در ماشین‌کاری CNC</t>
        </is>
      </c>
      <c r="Q12" s="12" t="inlineStr">
        <is>
          <t>پاورمیل چیست؟ | آماده‌سازی مدل | خشن‌کاری | پرداخت | شبیه‌سازی | خروجی G-code</t>
        </is>
      </c>
      <c r="R12" s="12" t="inlineStr">
        <is>
          <t>/fa/for/programmers | /fa/blog | /fa/blog/مسترکم-چیست</t>
        </is>
      </c>
      <c r="S12" s="12" t="inlineStr">
        <is>
          <t>منابع رسمی و تجربه فنی قابل‌تأیید</t>
        </is>
      </c>
      <c r="T12" s="12" t="inlineStr">
        <is>
          <t>مطالعه مقاله مرتبط یا درخواست مشاوره</t>
        </is>
      </c>
      <c r="U12" s="12" t="inlineStr">
        <is>
          <t>پاسخ کامل به نیت «پاورمیل» بدون کیورد استافینگ</t>
        </is>
      </c>
      <c r="V12" s="12" t="n"/>
      <c r="W12" s="12" t="n"/>
      <c r="X12" s="29" t="n">
        <v>46290</v>
      </c>
      <c r="Y12" s="15" t="inlineStr">
        <is>
          <t>https://elecio.co/fa/blog/پاورمیل-چیست</t>
        </is>
      </c>
      <c r="Z12" s="12" t="inlineStr">
        <is>
          <t>آماده نگارش</t>
        </is>
      </c>
      <c r="AA12" s="12" t="inlineStr">
        <is>
          <t>بالا</t>
        </is>
      </c>
      <c r="AB12" s="16" t="n">
        <v>70</v>
      </c>
      <c r="AC12" s="30" t="n">
        <v>46262</v>
      </c>
      <c r="AD12" s="12" t="inlineStr">
        <is>
          <t>۱ شاخص ۶۰۰×۴۰۰ + تصویر داخلی فقط در صورت افزایش فهم</t>
        </is>
      </c>
      <c r="AE12" s="12" t="inlineStr">
        <is>
          <t>https://elecio.co/fa/blog/پاورمیل-چیست</t>
        </is>
      </c>
      <c r="AF12" s="12" t="inlineStr">
        <is>
          <t>شبیه‌سازی مسیر ابزار قطعه پیچیده CNC</t>
        </is>
      </c>
      <c r="AG12" s="12" t="inlineStr">
        <is>
          <t>مدل سه‌بعدی قطعه صنعتی پیچیده با مسیرهای ابزار خشن‌کاری و پرداخت رنگی در محیط CAM، بدون برند و متن خوانا؛ تصویر افقی جنرال و حرفه‌ای برای مقاله صنعتی، واقع‌گرایانه، نور تمیز، ترکیب‌بندی خلوت، بدون نوشته، لوگو و واترمارک، نسبت ۳:۲، خروجی دقیق ۶۰۰×۴۰۰ پیکسل</t>
        </is>
      </c>
      <c r="AH12" s="12" t="inlineStr">
        <is>
          <t>600×400 / WebP / 3:2</t>
        </is>
      </c>
      <c r="AI12" s="12" t="inlineStr">
        <is>
          <t>پاورمیل-چیست-تصویر-شاخص.webp</t>
        </is>
      </c>
      <c r="AJ12" s="12" t="inlineStr">
        <is>
          <t>مسیر ابزار سه‌بعدی خشن‌کاری و پرداخت روی یک قطعه صنعتی</t>
        </is>
      </c>
      <c r="AK12" s="12" t="inlineStr">
        <is>
          <t>deliverables/Persian_SEO_Publication_Queue/EC-009-پاورمیل-چیست</t>
        </is>
      </c>
    </row>
    <row r="13" ht="72" customHeight="1">
      <c r="A13" s="12" t="inlineStr">
        <is>
          <t>EC-010</t>
        </is>
      </c>
      <c r="B13" s="12" t="n">
        <v>5</v>
      </c>
      <c r="C13" s="12" t="inlineStr">
        <is>
          <t>دوشنبه</t>
        </is>
      </c>
      <c r="D13" s="12" t="inlineStr">
        <is>
          <t>خرید دستگاه CNC</t>
        </is>
      </c>
      <c r="E13" s="12" t="inlineStr">
        <is>
          <t>راهنمای خرید فرز CNC؛ چک‌لیست فنی و هزینه‌ها</t>
        </is>
      </c>
      <c r="F13" s="12" t="inlineStr">
        <is>
          <t>خرید فرز</t>
        </is>
      </c>
      <c r="G13" s="12" t="inlineStr">
        <is>
          <t>خرید فرز CNC، قیمت فرز، فرز نو یا کارکرده</t>
        </is>
      </c>
      <c r="H13" s="12" t="inlineStr">
        <is>
          <t>خرید</t>
        </is>
      </c>
      <c r="I13" s="12" t="inlineStr">
        <is>
          <t>تصمیم</t>
        </is>
      </c>
      <c r="J13" s="12" t="inlineStr">
        <is>
          <t>راهنمای خرید</t>
        </is>
      </c>
      <c r="K13" s="12" t="inlineStr">
        <is>
          <t>راهنمای خرید فرز CNC؛ چک‌لیست فنی و هزینه‌ها</t>
        </is>
      </c>
      <c r="L13" s="12">
        <f>LEN(K13)</f>
        <v/>
      </c>
      <c r="M13" s="12" t="inlineStr">
        <is>
          <t>پیش از خرید فرز CNC چه چیزهایی را بررسی کنیم؟ نوع کنترلر، محورها، اسپیندل، دقت، خدمات، قطعات، تست عملی و هزینه کل مالکیت را مقایسه کنید.</t>
        </is>
      </c>
      <c r="N13" s="12">
        <f>LEN(M13)</f>
        <v/>
      </c>
      <c r="O13" s="12" t="inlineStr">
        <is>
          <t>راهنمای-خرید-فرز-cnc</t>
        </is>
      </c>
      <c r="P13" s="12" t="inlineStr">
        <is>
          <t>راهنمای خرید فرز CNC؛ چک‌لیست فنی و هزینه‌ها</t>
        </is>
      </c>
      <c r="Q13" s="12" t="inlineStr">
        <is>
          <t>نیاز کارگاه | مشخصات فنی | کنترلر و انتقال فایل | تست سلامت | نو یا کارکرده | هزینه کل مالکیت | چک‌لیست خرید</t>
        </is>
      </c>
      <c r="R13" s="12" t="inlineStr">
        <is>
          <t>/fa/contact | /fa/blog | /fa/blog/پاورمیل-چیست</t>
        </is>
      </c>
      <c r="S13" s="12" t="inlineStr">
        <is>
          <t>منابع رسمی و تجربه فنی قابل‌تأیید</t>
        </is>
      </c>
      <c r="T13" s="12" t="inlineStr">
        <is>
          <t>مطالعه مقاله مرتبط یا درخواست مشاوره</t>
        </is>
      </c>
      <c r="U13" s="12" t="inlineStr">
        <is>
          <t>پاسخ کامل به نیت «خرید فرز» بدون کیورد استافینگ</t>
        </is>
      </c>
      <c r="V13" s="12" t="n"/>
      <c r="W13" s="12" t="n"/>
      <c r="X13" s="29" t="n">
        <v>46293</v>
      </c>
      <c r="Y13" s="15" t="inlineStr">
        <is>
          <t>https://elecio.co/fa/blog/راهنمای-خرید-فرز-cnc</t>
        </is>
      </c>
      <c r="Z13" s="12" t="inlineStr">
        <is>
          <t>آماده نگارش</t>
        </is>
      </c>
      <c r="AA13" s="12" t="inlineStr">
        <is>
          <t>خیلی بالا</t>
        </is>
      </c>
      <c r="AB13" s="16" t="n">
        <v>70</v>
      </c>
      <c r="AC13" s="30" t="n">
        <v>46262</v>
      </c>
      <c r="AD13" s="12" t="inlineStr">
        <is>
          <t>۱ شاخص ۶۰۰×۴۰۰ + تصویر داخلی فقط در صورت افزایش فهم</t>
        </is>
      </c>
      <c r="AE13" s="12" t="inlineStr">
        <is>
          <t>https://elecio.co/fa/blog/راهنمای-خرید-فرز-cnc</t>
        </is>
      </c>
      <c r="AF13" s="12" t="inlineStr">
        <is>
          <t>بررسی فنی دستگاه پیش از خرید فرز CNC</t>
        </is>
      </c>
      <c r="AG13" s="12" t="inlineStr">
        <is>
          <t>کارشناس صنعتی در حال بررسی اسپیندل و کنترلر یک دستگاه فرز CNC در کارگاه، فضای مقایسه و ارزیابی خرید؛ تصویر افقی جنرال و حرفه‌ای برای مقاله صنعتی، واقع‌گرایانه، نور تمیز، ترکیب‌بندی خلوت، بدون نوشته، لوگو و واترمارک، نسبت ۳:۲، خروجی دقیق ۶۰۰×۴۰۰ پیکسل</t>
        </is>
      </c>
      <c r="AH13" s="12" t="inlineStr">
        <is>
          <t>600×400 / WebP / 3:2</t>
        </is>
      </c>
      <c r="AI13" s="12" t="inlineStr">
        <is>
          <t>راهنمای-خرید-فرز-cnc-تصویر-شاخص.webp</t>
        </is>
      </c>
      <c r="AJ13" s="12" t="inlineStr">
        <is>
          <t>کارشناس در حال بررسی فنی دستگاه فرز CNC در کارگاه</t>
        </is>
      </c>
      <c r="AK13" s="12" t="inlineStr">
        <is>
          <t>deliverables/Persian_SEO_Publication_Queue/EC-010-راهنمای-خرید-فرز-cnc</t>
        </is>
      </c>
    </row>
    <row r="14" ht="72" customHeight="1"/>
    <row r="15" ht="72" customHeight="1"/>
    <row r="16" ht="72" customHeight="1"/>
    <row r="17" ht="72" customHeight="1"/>
    <row r="18" ht="72" customHeight="1"/>
    <row r="19" ht="72" customHeight="1"/>
    <row r="20" ht="72" customHeight="1"/>
    <row r="21" ht="72" customHeight="1"/>
    <row r="22" ht="72" customHeight="1"/>
    <row r="23" ht="72" customHeight="1"/>
    <row r="24" ht="72" customHeight="1"/>
    <row r="25" ht="72" customHeight="1"/>
    <row r="26" ht="72" customHeight="1"/>
    <row r="27" ht="72" customHeight="1"/>
    <row r="28" ht="72" customHeight="1"/>
    <row r="29" ht="72" customHeight="1"/>
    <row r="30" ht="72" customHeight="1"/>
    <row r="31" ht="72" customHeight="1"/>
    <row r="32" ht="72" customHeight="1"/>
    <row r="33" ht="72" customHeight="1"/>
    <row r="34" ht="72" customHeight="1"/>
    <row r="35" ht="72" customHeight="1"/>
    <row r="36" ht="72" customHeight="1"/>
    <row r="37" ht="72" customHeight="1"/>
    <row r="38" ht="72" customHeight="1"/>
    <row r="39" ht="72" customHeight="1"/>
    <row r="40" ht="72" customHeight="1"/>
    <row r="41" ht="72" customHeight="1"/>
    <row r="42" ht="72" customHeight="1"/>
    <row r="43" ht="72" customHeight="1"/>
    <row r="44" ht="72" customHeight="1"/>
    <row r="45" ht="72" customHeight="1"/>
    <row r="46" ht="72" customHeight="1"/>
    <row r="47" ht="72" customHeight="1"/>
    <row r="48" ht="72" customHeight="1"/>
    <row r="49" ht="72" customHeight="1"/>
    <row r="50" ht="72" customHeight="1"/>
    <row r="51" ht="72" customHeight="1"/>
    <row r="52" ht="72" customHeight="1"/>
    <row r="53" ht="72" customHeight="1"/>
    <row r="54" ht="72" customHeight="1"/>
    <row r="55" ht="72" customHeight="1"/>
    <row r="56" ht="72" customHeight="1"/>
    <row r="57" ht="72" customHeight="1"/>
    <row r="58" ht="72" customHeight="1"/>
    <row r="59" ht="72" customHeight="1"/>
    <row r="60" ht="72" customHeight="1"/>
    <row r="61" ht="72" customHeight="1"/>
    <row r="62" ht="72" customHeight="1"/>
    <row r="63" ht="72" customHeight="1"/>
  </sheetData>
  <autoFilter ref="A3:AK13"/>
  <mergeCells count="2">
    <mergeCell ref="A2:AD2"/>
    <mergeCell ref="A1:AD1"/>
  </mergeCells>
  <conditionalFormatting sqref="L4:L63">
    <cfRule type="cellIs" priority="1" operator="greaterThan" dxfId="1">
      <formula>60</formula>
    </cfRule>
  </conditionalFormatting>
  <conditionalFormatting sqref="N4:N63">
    <cfRule type="cellIs" priority="2" operator="lessThan" dxfId="0">
      <formula>120</formula>
    </cfRule>
    <cfRule type="cellIs" priority="3" operator="greaterThan" dxfId="1">
      <formula>165</formula>
    </cfRule>
  </conditionalFormatting>
  <conditionalFormatting sqref="Z4:Z63">
    <cfRule type="expression" priority="4" dxfId="2">
      <formula>Z4="منتشرشده"</formula>
    </cfRule>
    <cfRule type="expression" priority="5" dxfId="0">
      <formula>Z4="در حال نگارش"</formula>
    </cfRule>
  </conditionalFormatting>
  <dataValidations count="5">
    <dataValidation sqref="H4:H1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'_lists'!$C$1:$C$6</formula1>
    </dataValidation>
    <dataValidation sqref="I4:I1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'_lists'!$D$1:$D$4</formula1>
    </dataValidation>
    <dataValidation sqref="J4:J1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'_lists'!$G$1:$G$6</formula1>
    </dataValidation>
    <dataValidation sqref="Z4:Z1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'_lists'!$A$1:$A$9</formula1>
    </dataValidation>
    <dataValidation sqref="AA4:AA1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'_lists'!$B$1:$B$4</formula1>
    </dataValidation>
  </dataValidations>
  <hyperlinks>
    <hyperlink xmlns:r="http://schemas.openxmlformats.org/officeDocument/2006/relationships" ref="Y4" r:id="rId1"/>
    <hyperlink xmlns:r="http://schemas.openxmlformats.org/officeDocument/2006/relationships" ref="Y5" r:id="rId2"/>
    <hyperlink xmlns:r="http://schemas.openxmlformats.org/officeDocument/2006/relationships" ref="Y6" r:id="rId3"/>
    <hyperlink xmlns:r="http://schemas.openxmlformats.org/officeDocument/2006/relationships" ref="Y7" r:id="rId4"/>
    <hyperlink xmlns:r="http://schemas.openxmlformats.org/officeDocument/2006/relationships" ref="Y8" r:id="rId5"/>
  </hyperlinks>
  <pageMargins left="0.25" right="0.25" top="1" bottom="1" header="0.5" footer="0.5"/>
  <pageSetup fitToWidth="1"/>
  <tableParts count="1">
    <tablePart xmlns:r="http://schemas.openxmlformats.org/officeDocument/2006/relationships" r:id="rId6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rightToLeft="1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8" customHeight="1">
      <c r="A1" s="1" t="inlineStr">
        <is>
          <t>بریف هوشمند مقاله</t>
        </is>
      </c>
    </row>
    <row r="2" ht="32" customHeight="1">
      <c r="A2" s="2" t="inlineStr">
        <is>
          <t>شناسه EC-001 تا EC-010 را انتخاب کنید؛ متن، URL فارسی و تمام مشخصات تصویر از تقویم نهایی خوانده می‌شوند.</t>
        </is>
      </c>
    </row>
    <row r="3">
      <c r="A3" s="22" t="inlineStr">
        <is>
          <t>شناسه محتوا</t>
        </is>
      </c>
      <c r="B3" s="23" t="inlineStr">
        <is>
          <t>EC-001</t>
        </is>
      </c>
    </row>
    <row r="5" ht="55" customHeight="1">
      <c r="A5" s="24" t="inlineStr">
        <is>
          <t>عنوان مقاله</t>
        </is>
      </c>
      <c r="B5" s="12">
        <f>IFERROR(INDEX('تقویم محتوا'!$E:$E,MATCH($B$3,'تقویم محتوا'!$A:$A,0)),"")</f>
        <v/>
      </c>
      <c r="C5" s="27" t="n"/>
      <c r="D5" s="27" t="n"/>
      <c r="E5" s="27" t="n"/>
      <c r="F5" s="27" t="n"/>
      <c r="G5" s="27" t="n"/>
      <c r="H5" s="28" t="n"/>
    </row>
    <row r="6" ht="55" customHeight="1">
      <c r="A6" s="24" t="inlineStr">
        <is>
          <t>کلمه کلیدی اصلی</t>
        </is>
      </c>
      <c r="B6" s="12">
        <f>IFERROR(INDEX('تقویم محتوا'!$F:$F,MATCH($B$3,'تقویم محتوا'!$A:$A,0)),"")</f>
        <v/>
      </c>
      <c r="C6" s="27" t="n"/>
      <c r="D6" s="27" t="n"/>
      <c r="E6" s="27" t="n"/>
      <c r="F6" s="27" t="n"/>
      <c r="G6" s="27" t="n"/>
      <c r="H6" s="28" t="n"/>
    </row>
    <row r="7" ht="55" customHeight="1">
      <c r="A7" s="24" t="inlineStr">
        <is>
          <t>کلمات فرعی</t>
        </is>
      </c>
      <c r="B7" s="12">
        <f>IFERROR(INDEX('تقویم محتوا'!$G:$G,MATCH($B$3,'تقویم محتوا'!$A:$A,0)),"")</f>
        <v/>
      </c>
      <c r="C7" s="27" t="n"/>
      <c r="D7" s="27" t="n"/>
      <c r="E7" s="27" t="n"/>
      <c r="F7" s="27" t="n"/>
      <c r="G7" s="27" t="n"/>
      <c r="H7" s="28" t="n"/>
    </row>
    <row r="8" ht="55" customHeight="1">
      <c r="A8" s="24" t="inlineStr">
        <is>
          <t>نیت جست‌وجو</t>
        </is>
      </c>
      <c r="B8" s="12">
        <f>IFERROR(INDEX('تقویم محتوا'!$H:$H,MATCH($B$3,'تقویم محتوا'!$A:$A,0)),"")</f>
        <v/>
      </c>
      <c r="C8" s="27" t="n"/>
      <c r="D8" s="27" t="n"/>
      <c r="E8" s="27" t="n"/>
      <c r="F8" s="27" t="n"/>
      <c r="G8" s="27" t="n"/>
      <c r="H8" s="28" t="n"/>
    </row>
    <row r="9" ht="55" customHeight="1">
      <c r="A9" s="24" t="inlineStr">
        <is>
          <t>مخاطب اصلی</t>
        </is>
      </c>
      <c r="B9" s="25" t="n"/>
      <c r="C9" s="33" t="n"/>
      <c r="D9" s="33" t="n"/>
      <c r="E9" s="33" t="n"/>
      <c r="F9" s="33" t="n"/>
      <c r="G9" s="33" t="n"/>
      <c r="H9" s="34" t="n"/>
    </row>
    <row r="10" ht="55" customHeight="1">
      <c r="A10" s="24" t="inlineStr">
        <is>
          <t>مسئله/درد مخاطب</t>
        </is>
      </c>
      <c r="B10" s="25" t="n"/>
      <c r="C10" s="33" t="n"/>
      <c r="D10" s="33" t="n"/>
      <c r="E10" s="33" t="n"/>
      <c r="F10" s="33" t="n"/>
      <c r="G10" s="33" t="n"/>
      <c r="H10" s="34" t="n"/>
    </row>
    <row r="11" ht="55" customHeight="1">
      <c r="A11" s="24" t="inlineStr">
        <is>
          <t>پاسخ یا وعده اصلی مقاله</t>
        </is>
      </c>
      <c r="B11" s="25" t="n"/>
      <c r="C11" s="33" t="n"/>
      <c r="D11" s="33" t="n"/>
      <c r="E11" s="33" t="n"/>
      <c r="F11" s="33" t="n"/>
      <c r="G11" s="33" t="n"/>
      <c r="H11" s="34" t="n"/>
    </row>
    <row r="12" ht="55" customHeight="1">
      <c r="A12" s="24" t="inlineStr">
        <is>
          <t>SEO Title</t>
        </is>
      </c>
      <c r="B12" s="12">
        <f>IFERROR(INDEX('تقویم محتوا'!$K:$K,MATCH($B$3,'تقویم محتوا'!$A:$A,0)),"")</f>
        <v/>
      </c>
      <c r="C12" s="27" t="n"/>
      <c r="D12" s="27" t="n"/>
      <c r="E12" s="27" t="n"/>
      <c r="F12" s="27" t="n"/>
      <c r="G12" s="27" t="n"/>
      <c r="H12" s="28" t="n"/>
    </row>
    <row r="13" ht="55" customHeight="1">
      <c r="A13" s="24" t="inlineStr">
        <is>
          <t>Meta Description</t>
        </is>
      </c>
      <c r="B13" s="12">
        <f>IFERROR(INDEX('تقویم محتوا'!$M:$M,MATCH($B$3,'تقویم محتوا'!$A:$A,0)),"")</f>
        <v/>
      </c>
      <c r="C13" s="27" t="n"/>
      <c r="D13" s="27" t="n"/>
      <c r="E13" s="27" t="n"/>
      <c r="F13" s="27" t="n"/>
      <c r="G13" s="27" t="n"/>
      <c r="H13" s="28" t="n"/>
    </row>
    <row r="14" ht="55" customHeight="1">
      <c r="A14" s="24" t="inlineStr">
        <is>
          <t>Slug</t>
        </is>
      </c>
      <c r="B14" s="12">
        <f>IFERROR(INDEX('تقویم محتوا'!$O:$O,MATCH($B$3,'تقویم محتوا'!$A:$A,0)),"")</f>
        <v/>
      </c>
      <c r="C14" s="27" t="n"/>
      <c r="D14" s="27" t="n"/>
      <c r="E14" s="27" t="n"/>
      <c r="F14" s="27" t="n"/>
      <c r="G14" s="27" t="n"/>
      <c r="H14" s="28" t="n"/>
    </row>
    <row r="15" ht="55" customHeight="1">
      <c r="A15" s="24" t="inlineStr">
        <is>
          <t>H1</t>
        </is>
      </c>
      <c r="B15" s="12">
        <f>IFERROR(INDEX('تقویم محتوا'!$P:$P,MATCH($B$3,'تقویم محتوا'!$A:$A,0)),"")</f>
        <v/>
      </c>
      <c r="C15" s="27" t="n"/>
      <c r="D15" s="27" t="n"/>
      <c r="E15" s="27" t="n"/>
      <c r="F15" s="27" t="n"/>
      <c r="G15" s="27" t="n"/>
      <c r="H15" s="28" t="n"/>
    </row>
    <row r="16" ht="100" customHeight="1">
      <c r="A16" s="24" t="inlineStr">
        <is>
          <t>ساختار H2</t>
        </is>
      </c>
      <c r="B16" s="12">
        <f>IFERROR(INDEX('تقویم محتوا'!$Q:$Q,MATCH($B$3,'تقویم محتوا'!$A:$A,0)),"")</f>
        <v/>
      </c>
      <c r="C16" s="27" t="n"/>
      <c r="D16" s="27" t="n"/>
      <c r="E16" s="27" t="n"/>
      <c r="F16" s="27" t="n"/>
      <c r="G16" s="27" t="n"/>
      <c r="H16" s="28" t="n"/>
    </row>
    <row r="17" ht="55" customHeight="1">
      <c r="A17" s="24" t="inlineStr">
        <is>
          <t>لینک‌های داخلی</t>
        </is>
      </c>
      <c r="B17" s="12">
        <f>IFERROR(INDEX('تقویم محتوا'!$R:$R,MATCH($B$3,'تقویم محتوا'!$A:$A,0)),"")</f>
        <v/>
      </c>
      <c r="C17" s="27" t="n"/>
      <c r="D17" s="27" t="n"/>
      <c r="E17" s="27" t="n"/>
      <c r="F17" s="27" t="n"/>
      <c r="G17" s="27" t="n"/>
      <c r="H17" s="28" t="n"/>
    </row>
    <row r="18" ht="55" customHeight="1">
      <c r="A18" s="24" t="inlineStr">
        <is>
          <t>منابع ضروری</t>
        </is>
      </c>
      <c r="B18" s="12">
        <f>IFERROR(INDEX('تقویم محتوا'!$S:$S,MATCH($B$3,'تقویم محتوا'!$A:$A,0)),"")</f>
        <v/>
      </c>
      <c r="C18" s="27" t="n"/>
      <c r="D18" s="27" t="n"/>
      <c r="E18" s="27" t="n"/>
      <c r="F18" s="27" t="n"/>
      <c r="G18" s="27" t="n"/>
      <c r="H18" s="28" t="n"/>
    </row>
    <row r="19" ht="55" customHeight="1">
      <c r="A19" s="24" t="inlineStr">
        <is>
          <t>CTA</t>
        </is>
      </c>
      <c r="B19" s="12">
        <f>IFERROR(INDEX('تقویم محتوا'!$T:$T,MATCH($B$3,'تقویم محتوا'!$A:$A,0)),"")</f>
        <v/>
      </c>
      <c r="C19" s="27" t="n"/>
      <c r="D19" s="27" t="n"/>
      <c r="E19" s="27" t="n"/>
      <c r="F19" s="27" t="n"/>
      <c r="G19" s="27" t="n"/>
      <c r="H19" s="28" t="n"/>
    </row>
    <row r="20" ht="55" customHeight="1">
      <c r="A20" s="24" t="inlineStr">
        <is>
          <t>زاویه تمایز با رقبا</t>
        </is>
      </c>
      <c r="B20" s="25" t="n"/>
      <c r="C20" s="33" t="n"/>
      <c r="D20" s="33" t="n"/>
      <c r="E20" s="33" t="n"/>
      <c r="F20" s="33" t="n"/>
      <c r="G20" s="33" t="n"/>
      <c r="H20" s="34" t="n"/>
    </row>
    <row r="21" ht="100" customHeight="1">
      <c r="A21" s="24" t="inlineStr">
        <is>
          <t>مثال واقعی/سناریوی کارگاه</t>
        </is>
      </c>
      <c r="B21" s="25" t="n"/>
      <c r="C21" s="33" t="n"/>
      <c r="D21" s="33" t="n"/>
      <c r="E21" s="33" t="n"/>
      <c r="F21" s="33" t="n"/>
      <c r="G21" s="33" t="n"/>
      <c r="H21" s="34" t="n"/>
    </row>
    <row r="22" ht="55" customHeight="1">
      <c r="A22" s="24" t="inlineStr">
        <is>
          <t>جدول‌های ضروری</t>
        </is>
      </c>
      <c r="B22" s="25" t="n"/>
      <c r="C22" s="33" t="n"/>
      <c r="D22" s="33" t="n"/>
      <c r="E22" s="33" t="n"/>
      <c r="F22" s="33" t="n"/>
      <c r="G22" s="33" t="n"/>
      <c r="H22" s="34" t="n"/>
    </row>
    <row r="23" ht="55" customHeight="1">
      <c r="A23" s="24" t="inlineStr">
        <is>
          <t>FAQهای ضروری</t>
        </is>
      </c>
      <c r="B23" s="25" t="n"/>
      <c r="C23" s="33" t="n"/>
      <c r="D23" s="33" t="n"/>
      <c r="E23" s="33" t="n"/>
      <c r="F23" s="33" t="n"/>
      <c r="G23" s="33" t="n"/>
      <c r="H23" s="34" t="n"/>
    </row>
    <row r="24" ht="55" customHeight="1">
      <c r="A24" s="24" t="inlineStr">
        <is>
          <t>ادعاهای نیازمند تأیید</t>
        </is>
      </c>
      <c r="B24" s="25" t="n"/>
      <c r="C24" s="33" t="n"/>
      <c r="D24" s="33" t="n"/>
      <c r="E24" s="33" t="n"/>
      <c r="F24" s="33" t="n"/>
      <c r="G24" s="33" t="n"/>
      <c r="H24" s="34" t="n"/>
    </row>
    <row r="25" ht="100" customHeight="1">
      <c r="A25" s="24" t="inlineStr">
        <is>
          <t>نکات ویراستار</t>
        </is>
      </c>
      <c r="B25" s="25" t="n"/>
      <c r="C25" s="33" t="n"/>
      <c r="D25" s="33" t="n"/>
      <c r="E25" s="33" t="n"/>
      <c r="F25" s="33" t="n"/>
      <c r="G25" s="33" t="n"/>
      <c r="H25" s="34" t="n"/>
    </row>
    <row r="26">
      <c r="A26" s="24" t="inlineStr">
        <is>
          <t>URL نهایی</t>
        </is>
      </c>
      <c r="B26" s="25">
        <f>IFERROR(INDEX('تقویم محتوا'!$AE:$AE,MATCH($B$3,'تقویم محتوا'!$A:$A,0)),"")</f>
        <v/>
      </c>
    </row>
    <row r="27">
      <c r="A27" s="24" t="inlineStr">
        <is>
          <t>عنوان تصویر شاخص</t>
        </is>
      </c>
      <c r="B27" s="25">
        <f>IFERROR(INDEX('تقویم محتوا'!$AF:$AF,MATCH($B$3,'تقویم محتوا'!$A:$A,0)),"")</f>
        <v/>
      </c>
    </row>
    <row r="28">
      <c r="A28" s="24" t="inlineStr">
        <is>
          <t>پرامپت تصویر</t>
        </is>
      </c>
      <c r="B28" s="25">
        <f>IFERROR(INDEX('تقویم محتوا'!$AG:$AG,MATCH($B$3,'تقویم محتوا'!$A:$A,0)),"")</f>
        <v/>
      </c>
    </row>
    <row r="29">
      <c r="A29" s="24" t="inlineStr">
        <is>
          <t>ابعاد/فرمت</t>
        </is>
      </c>
      <c r="B29" s="25">
        <f>IFERROR(INDEX('تقویم محتوا'!$AH:$AH,MATCH($B$3,'تقویم محتوا'!$A:$A,0)),"")</f>
        <v/>
      </c>
    </row>
    <row r="30">
      <c r="A30" s="24" t="inlineStr">
        <is>
          <t>نام فایل تصویر</t>
        </is>
      </c>
      <c r="B30" s="25">
        <f>IFERROR(INDEX('تقویم محتوا'!$AI:$AI,MATCH($B$3,'تقویم محتوا'!$A:$A,0)),"")</f>
        <v/>
      </c>
    </row>
    <row r="31">
      <c r="A31" s="24" t="inlineStr">
        <is>
          <t>متن جایگزین (alt)</t>
        </is>
      </c>
      <c r="B31" s="25">
        <f>IFERROR(INDEX('تقویم محتوا'!$AJ:$AJ,MATCH($B$3,'تقویم محتوا'!$A:$A,0)),"")</f>
        <v/>
      </c>
    </row>
    <row r="32">
      <c r="A32" s="24" t="inlineStr">
        <is>
          <t>مسیر پوشه تحویل</t>
        </is>
      </c>
      <c r="B32" s="25">
        <f>IFERROR(INDEX('تقویم محتوا'!$AK:$AK,MATCH($B$3,'تقویم محتوا'!$A:$A,0)),"")</f>
        <v/>
      </c>
    </row>
  </sheetData>
  <mergeCells count="23">
    <mergeCell ref="B9:H9"/>
    <mergeCell ref="B6:H6"/>
    <mergeCell ref="B24:H24"/>
    <mergeCell ref="B15:H15"/>
    <mergeCell ref="A1:H1"/>
    <mergeCell ref="B5:H5"/>
    <mergeCell ref="B20:H20"/>
    <mergeCell ref="B16:H16"/>
    <mergeCell ref="B7:H7"/>
    <mergeCell ref="B25:H25"/>
    <mergeCell ref="B22:H22"/>
    <mergeCell ref="B18:H18"/>
    <mergeCell ref="B21:H21"/>
    <mergeCell ref="A2:H2"/>
    <mergeCell ref="B12:H12"/>
    <mergeCell ref="B11:H11"/>
    <mergeCell ref="B23:H23"/>
    <mergeCell ref="B8:H8"/>
    <mergeCell ref="B14:H14"/>
    <mergeCell ref="B17:H17"/>
    <mergeCell ref="B13:H13"/>
    <mergeCell ref="B10:H10"/>
    <mergeCell ref="B19:H19"/>
  </mergeCells>
  <dataValidations count="1">
    <dataValidation sqref="B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'تقویم محتوا'!$A$4:$A$13</formula1>
    </dataValidation>
  </dataValidations>
  <pageMargins left="0.25" right="0.25" top="1" bottom="1" header="0.5" footer="0.5"/>
  <pageSetup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rightToLeft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2" customWidth="1" min="3" max="3"/>
    <col width="42" customWidth="1" min="4" max="4"/>
    <col width="45" customWidth="1" min="5" max="5"/>
    <col width="24" customWidth="1" min="6" max="6"/>
    <col width="34" customWidth="1" min="7" max="7"/>
    <col width="18" customWidth="1" min="8" max="8"/>
  </cols>
  <sheetData>
    <row r="1" ht="38" customHeight="1">
      <c r="A1" s="1" t="inlineStr">
        <is>
          <t>صفحات هدف و Pillar</t>
        </is>
      </c>
    </row>
    <row r="2" ht="32" customHeight="1">
      <c r="A2" s="2" t="inlineStr">
        <is>
          <t>این شیت مقصد لینک‌سازی و جلوگیری از تولید مقاله‌های رقیب با صفحات تجاری را مشخص می‌کند.</t>
        </is>
      </c>
    </row>
    <row r="3" ht="34" customHeight="1">
      <c r="A3" s="11" t="inlineStr">
        <is>
          <t>نوع</t>
        </is>
      </c>
      <c r="B3" s="11" t="inlineStr">
        <is>
          <t>عنوان صفحه</t>
        </is>
      </c>
      <c r="C3" s="11" t="inlineStr">
        <is>
          <t>URL فارسی</t>
        </is>
      </c>
      <c r="D3" s="11" t="inlineStr">
        <is>
          <t>نقش در معماری سئو</t>
        </is>
      </c>
      <c r="E3" s="11" t="inlineStr">
        <is>
          <t>کیوردهای محوری</t>
        </is>
      </c>
      <c r="F3" s="11" t="inlineStr">
        <is>
          <t>CTA اصلی</t>
        </is>
      </c>
      <c r="G3" s="11" t="inlineStr">
        <is>
          <t>لینک از خوشه‌ها</t>
        </is>
      </c>
      <c r="H3" s="11" t="inlineStr">
        <is>
          <t>وضعیت بررسی</t>
        </is>
      </c>
    </row>
    <row r="4" ht="58" customHeight="1">
      <c r="A4" s="12" t="inlineStr">
        <is>
          <t>Pillar تجاری</t>
        </is>
      </c>
      <c r="B4" s="12" t="inlineStr">
        <is>
          <t>محصول Smart DNC</t>
        </is>
      </c>
      <c r="C4" s="15" t="inlineStr">
        <is>
          <t>/fa/product</t>
        </is>
      </c>
      <c r="D4" s="12" t="inlineStr">
        <is>
          <t>صفحه اصلی تبدیل برای سخت‌افزار و سازگاری</t>
        </is>
      </c>
      <c r="E4" s="12" t="inlineStr">
        <is>
          <t>دستگاه CNC، فرز CNC، تراش CNC، خرید فرز CNC</t>
        </is>
      </c>
      <c r="F4" s="12" t="inlineStr">
        <is>
          <t>سفارش/مشاوره</t>
        </is>
      </c>
      <c r="G4" s="12" t="inlineStr">
        <is>
          <t>دستگاه، فرز، تراش، ماشین‌کاری و خرید</t>
        </is>
      </c>
      <c r="H4" s="12" t="inlineStr">
        <is>
          <t>بررسی شده</t>
        </is>
      </c>
    </row>
    <row r="5" ht="58" customHeight="1">
      <c r="A5" s="13" t="inlineStr">
        <is>
          <t>Pillar تجاری</t>
        </is>
      </c>
      <c r="B5" s="13" t="inlineStr">
        <is>
          <t>نرم‌افزار ElecIO</t>
        </is>
      </c>
      <c r="C5" s="19" t="inlineStr">
        <is>
          <t>/fa/software</t>
        </is>
      </c>
      <c r="D5" s="13" t="inlineStr">
        <is>
          <t>تبدیل برای مدیریت فایل و گزارش</t>
        </is>
      </c>
      <c r="E5" s="13" t="inlineStr">
        <is>
          <t>اتوماسیون صنعتی، PLC، نرم‌افزار صنعتی</t>
        </is>
      </c>
      <c r="F5" s="13" t="inlineStr">
        <is>
          <t>درخواست دمو</t>
        </is>
      </c>
      <c r="G5" s="13" t="inlineStr">
        <is>
          <t>اتوماسیون صنعتی و کنترل PLC</t>
        </is>
      </c>
      <c r="H5" s="13" t="inlineStr">
        <is>
          <t>بررسی شده</t>
        </is>
      </c>
    </row>
    <row r="6" ht="58" customHeight="1">
      <c r="A6" s="12" t="inlineStr">
        <is>
          <t>اعتماد</t>
        </is>
      </c>
      <c r="B6" s="12" t="inlineStr">
        <is>
          <t>درباره ما</t>
        </is>
      </c>
      <c r="C6" s="15" t="inlineStr">
        <is>
          <t>/fa/about</t>
        </is>
      </c>
      <c r="D6" s="12" t="inlineStr">
        <is>
          <t>اعتمادسازی برند و تجربه</t>
        </is>
      </c>
      <c r="E6" s="12" t="inlineStr">
        <is>
          <t>ElecIO، شرکت DNC</t>
        </is>
      </c>
      <c r="F6" s="12" t="inlineStr">
        <is>
          <t>آشنایی با تیم</t>
        </is>
      </c>
      <c r="G6" s="12" t="inlineStr">
        <is>
          <t>برند و مطالعات موردی</t>
        </is>
      </c>
      <c r="H6" s="12" t="inlineStr">
        <is>
          <t>بررسی شده</t>
        </is>
      </c>
    </row>
    <row r="7" ht="58" customHeight="1">
      <c r="A7" s="13" t="inlineStr">
        <is>
          <t>تبدیل</t>
        </is>
      </c>
      <c r="B7" s="13" t="inlineStr">
        <is>
          <t>تماس</t>
        </is>
      </c>
      <c r="C7" s="19" t="inlineStr">
        <is>
          <t>/fa/contact</t>
        </is>
      </c>
      <c r="D7" s="13" t="inlineStr">
        <is>
          <t>ثبت درخواست مشاوره و پشتیبانی</t>
        </is>
      </c>
      <c r="E7" s="13" t="inlineStr">
        <is>
          <t>خرید فرز CNC، مشاوره دستگاه و اتوماسیون</t>
        </is>
      </c>
      <c r="F7" s="13" t="inlineStr">
        <is>
          <t>ارسال درخواست</t>
        </is>
      </c>
      <c r="G7" s="13" t="inlineStr">
        <is>
          <t>راهنمای خرید و موضوعات تصمیم‌محور</t>
        </is>
      </c>
      <c r="H7" s="13" t="inlineStr">
        <is>
          <t>بررسی شده</t>
        </is>
      </c>
    </row>
    <row r="8" ht="58" customHeight="1">
      <c r="A8" s="12" t="inlineStr">
        <is>
          <t>Pillar اطلاعاتی</t>
        </is>
      </c>
      <c r="B8" s="12" t="inlineStr">
        <is>
          <t>مجله</t>
        </is>
      </c>
      <c r="C8" s="15" t="inlineStr">
        <is>
          <t>/fa/blog</t>
        </is>
      </c>
      <c r="D8" s="12" t="inlineStr">
        <is>
          <t>هاب تمام خوشه‌های اطلاعاتی</t>
        </is>
      </c>
      <c r="E8" s="12" t="inlineStr">
        <is>
          <t>جی کد، دستگاه CNC، فرز CNC، اتوماسیون صنعتی، PLC، تراش CNC، ماشین‌کاری، مسترکم، پاورمیل، خرید فرز</t>
        </is>
      </c>
      <c r="F8" s="12" t="inlineStr">
        <is>
          <t>مطالعه مقالات</t>
        </is>
      </c>
      <c r="G8" s="12" t="inlineStr">
        <is>
          <t>همه ۱۰ خوشه محتوایی</t>
        </is>
      </c>
      <c r="H8" s="12" t="inlineStr">
        <is>
          <t>بررسی شده</t>
        </is>
      </c>
    </row>
    <row r="9" ht="58" customHeight="1">
      <c r="A9" s="13" t="inlineStr">
        <is>
          <t>Persona</t>
        </is>
      </c>
      <c r="B9" s="13" t="inlineStr">
        <is>
          <t>مدیران کارگاه</t>
        </is>
      </c>
      <c r="C9" s="19" t="inlineStr">
        <is>
          <t>/fa/for/business-owners</t>
        </is>
      </c>
      <c r="D9" s="13" t="inlineStr">
        <is>
          <t>پیام ارزش اقتصادی و مدیریتی</t>
        </is>
      </c>
      <c r="E9" s="13" t="inlineStr">
        <is>
          <t>کاهش توقف CNC، گزارش تولید</t>
        </is>
      </c>
      <c r="F9" s="13" t="inlineStr">
        <is>
          <t>مشاوره کسب‌وکار</t>
        </is>
      </c>
      <c r="G9" s="13" t="inlineStr">
        <is>
          <t>گزارش و ROI</t>
        </is>
      </c>
      <c r="H9" s="13" t="inlineStr">
        <is>
          <t>بررسی شده</t>
        </is>
      </c>
    </row>
    <row r="10" ht="58" customHeight="1">
      <c r="A10" s="12" t="inlineStr">
        <is>
          <t>Persona</t>
        </is>
      </c>
      <c r="B10" s="12" t="inlineStr">
        <is>
          <t>برنامه‌نویسان CNC</t>
        </is>
      </c>
      <c r="C10" s="15" t="inlineStr">
        <is>
          <t>/fa/for/programmers</t>
        </is>
      </c>
      <c r="D10" s="12" t="inlineStr">
        <is>
          <t>جزئیات انتقال فایل و کنترلر</t>
        </is>
      </c>
      <c r="E10" s="12" t="inlineStr">
        <is>
          <t>جی کد، مسترکم، پاورمیل، برنامه‌نویسی CNC</t>
        </is>
      </c>
      <c r="F10" s="12" t="inlineStr">
        <is>
          <t>بررسی سازگاری</t>
        </is>
      </c>
      <c r="G10" s="12" t="inlineStr">
        <is>
          <t>جی کد و نرم‌افزارهای CAM</t>
        </is>
      </c>
      <c r="H10" s="12" t="inlineStr">
        <is>
          <t>بررسی شده</t>
        </is>
      </c>
    </row>
    <row r="11" ht="58" customHeight="1">
      <c r="A11" s="13" t="inlineStr">
        <is>
          <t>Persona</t>
        </is>
      </c>
      <c r="B11" s="13" t="inlineStr">
        <is>
          <t>اپراتورها</t>
        </is>
      </c>
      <c r="C11" s="19" t="inlineStr">
        <is>
          <t>/fa/for/operators</t>
        </is>
      </c>
      <c r="D11" s="13" t="inlineStr">
        <is>
          <t>کار روزمره و کاهش خطا</t>
        </is>
      </c>
      <c r="E11" s="13" t="inlineStr">
        <is>
          <t>ارسال برنامه CNC، خطای فایل</t>
        </is>
      </c>
      <c r="F11" s="13" t="inlineStr">
        <is>
          <t>مشاهده روش کار</t>
        </is>
      </c>
      <c r="G11" s="13" t="inlineStr">
        <is>
          <t>آموزش و عیب‌یابی</t>
        </is>
      </c>
      <c r="H11" s="13" t="inlineStr">
        <is>
          <t>بررسی شده</t>
        </is>
      </c>
    </row>
  </sheetData>
  <mergeCells count="2">
    <mergeCell ref="A2:H2"/>
    <mergeCell ref="A1:H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</hyperlinks>
  <pageMargins left="0.25" right="0.25" top="1" bottom="1" header="0.5" footer="0.5"/>
  <pageSetup fitToWidth="1"/>
  <tableParts count="1">
    <tablePart xmlns:r="http://schemas.openxmlformats.org/officeDocument/2006/relationships" r:id="rId9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rightToLeft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8" customWidth="1" min="3" max="3"/>
    <col width="30" customWidth="1" min="4" max="4"/>
    <col width="30" customWidth="1" min="5" max="5"/>
    <col width="30" customWidth="1" min="6" max="6"/>
    <col width="22" customWidth="1" min="7" max="7"/>
    <col width="18" customWidth="1" min="8" max="8"/>
  </cols>
  <sheetData>
    <row r="1" ht="38" customHeight="1">
      <c r="A1" s="1" t="inlineStr">
        <is>
          <t>نقشه لینک‌سازی داخلی</t>
        </is>
      </c>
    </row>
    <row r="2" ht="32" customHeight="1">
      <c r="A2" s="2" t="inlineStr">
        <is>
          <t>برای هر مقاله دقیقاً سه مقصد ثبت شده است: یک Pillar و دو مقاله مرتبط. URLها همگی با نسخه فارسی نهایی هماهنگ‌اند.</t>
        </is>
      </c>
    </row>
    <row r="3" ht="34" customHeight="1">
      <c r="A3" s="11" t="inlineStr">
        <is>
          <t>خوشه مبدأ</t>
        </is>
      </c>
      <c r="B3" s="11" t="inlineStr">
        <is>
          <t>صفحه/خوشه مقصد</t>
        </is>
      </c>
      <c r="C3" s="11" t="inlineStr">
        <is>
          <t>URL مقصد</t>
        </is>
      </c>
      <c r="D3" s="11" t="inlineStr">
        <is>
          <t>انکر پیشنهادی ۱</t>
        </is>
      </c>
      <c r="E3" s="11" t="inlineStr">
        <is>
          <t>انکر پیشنهادی ۲</t>
        </is>
      </c>
      <c r="F3" s="11" t="inlineStr">
        <is>
          <t>جایگاه پیشنهادی</t>
        </is>
      </c>
      <c r="G3" s="11" t="inlineStr">
        <is>
          <t>هدف لینک</t>
        </is>
      </c>
      <c r="H3" s="11" t="inlineStr">
        <is>
          <t>وضعیت</t>
        </is>
      </c>
    </row>
    <row r="4" ht="55" customHeight="1">
      <c r="A4" s="12" t="inlineStr">
        <is>
          <t>EC-001 | برنامه‌نویسی CNC</t>
        </is>
      </c>
      <c r="B4" s="12" t="inlineStr">
        <is>
          <t>صفحه برنامه‌نویسان CNC</t>
        </is>
      </c>
      <c r="C4" s="15" t="inlineStr">
        <is>
          <t>https://elecio.co/fa/for/programmers</t>
        </is>
      </c>
      <c r="D4" s="12" t="inlineStr">
        <is>
          <t>برنامه‌نویسی CNC</t>
        </is>
      </c>
      <c r="E4" s="12" t="inlineStr">
        <is>
          <t>راهنمای جی کد</t>
        </is>
      </c>
      <c r="F4" s="12" t="inlineStr">
        <is>
          <t>پس از مقدمه یا بخش کاربرد</t>
        </is>
      </c>
      <c r="G4" s="12" t="inlineStr">
        <is>
          <t>انتقال اعتبار به Pillar</t>
        </is>
      </c>
      <c r="H4" s="12" t="inlineStr">
        <is>
          <t>بررسی نشده</t>
        </is>
      </c>
    </row>
    <row r="5" ht="55" customHeight="1">
      <c r="A5" s="12" t="inlineStr">
        <is>
          <t>EC-001 | برنامه‌نویسی CNC</t>
        </is>
      </c>
      <c r="B5" s="12" t="inlineStr">
        <is>
          <t>دستگاه CNC چیست؟ انواع، کاربرد و نکات انتخاب</t>
        </is>
      </c>
      <c r="C5" s="15" t="inlineStr">
        <is>
          <t>https://elecio.co/fa/blog/دستگاه-cnc-چیست</t>
        </is>
      </c>
      <c r="D5" s="12" t="inlineStr">
        <is>
          <t>cnc دستگاه</t>
        </is>
      </c>
      <c r="E5" s="12" t="inlineStr">
        <is>
          <t>راهنمای cnc دستگاه</t>
        </is>
      </c>
      <c r="F5" s="12" t="inlineStr">
        <is>
          <t>در نزدیک‌ترین بخش مرتبط</t>
        </is>
      </c>
      <c r="G5" s="12" t="inlineStr">
        <is>
          <t>عمق موضوعی و مسیر مطالعه</t>
        </is>
      </c>
      <c r="H5" s="12" t="inlineStr">
        <is>
          <t>بررسی نشده</t>
        </is>
      </c>
    </row>
    <row r="6" ht="55" customHeight="1">
      <c r="A6" s="12" t="inlineStr">
        <is>
          <t>EC-001 | برنامه‌نویسی CNC</t>
        </is>
      </c>
      <c r="B6" s="12" t="inlineStr">
        <is>
          <t>مسترکم چیست؟ کاربرد Mastercam در برنامه‌نویسی CNC</t>
        </is>
      </c>
      <c r="C6" s="15" t="inlineStr">
        <is>
          <t>https://elecio.co/fa/blog/مسترکم-چیست</t>
        </is>
      </c>
      <c r="D6" s="12" t="inlineStr">
        <is>
          <t>مسترکم</t>
        </is>
      </c>
      <c r="E6" s="12" t="inlineStr">
        <is>
          <t>راهنمای مسترکم</t>
        </is>
      </c>
      <c r="F6" s="12" t="inlineStr">
        <is>
          <t>در نزدیک‌ترین بخش مرتبط</t>
        </is>
      </c>
      <c r="G6" s="12" t="inlineStr">
        <is>
          <t>عمق موضوعی و مسیر مطالعه</t>
        </is>
      </c>
      <c r="H6" s="12" t="inlineStr">
        <is>
          <t>بررسی نشده</t>
        </is>
      </c>
    </row>
    <row r="7" ht="55" customHeight="1">
      <c r="A7" s="12" t="inlineStr">
        <is>
          <t>EC-002 | مبانی CNC</t>
        </is>
      </c>
      <c r="B7" s="12" t="inlineStr">
        <is>
          <t>محصول Smart DNC</t>
        </is>
      </c>
      <c r="C7" s="15" t="inlineStr">
        <is>
          <t>https://elecio.co/fa/product</t>
        </is>
      </c>
      <c r="D7" s="12" t="inlineStr">
        <is>
          <t>مبانی CNC</t>
        </is>
      </c>
      <c r="E7" s="12" t="inlineStr">
        <is>
          <t>راهنمای cnc دستگاه</t>
        </is>
      </c>
      <c r="F7" s="12" t="inlineStr">
        <is>
          <t>پس از مقدمه یا بخش کاربرد</t>
        </is>
      </c>
      <c r="G7" s="12" t="inlineStr">
        <is>
          <t>انتقال اعتبار به Pillar</t>
        </is>
      </c>
      <c r="H7" s="12" t="inlineStr">
        <is>
          <t>بررسی نشده</t>
        </is>
      </c>
    </row>
    <row r="8" ht="55" customHeight="1">
      <c r="A8" s="12" t="inlineStr">
        <is>
          <t>EC-002 | مبانی CNC</t>
        </is>
      </c>
      <c r="B8" s="12" t="inlineStr">
        <is>
          <t>فرز CNC چیست؟ راهنمای انواع، اجزا و کاربردها</t>
        </is>
      </c>
      <c r="C8" s="15" t="inlineStr">
        <is>
          <t>https://elecio.co/fa/blog/فرز-cnc-چیست</t>
        </is>
      </c>
      <c r="D8" s="12" t="inlineStr">
        <is>
          <t>فرز CNC</t>
        </is>
      </c>
      <c r="E8" s="12" t="inlineStr">
        <is>
          <t>راهنمای فرز CNC</t>
        </is>
      </c>
      <c r="F8" s="12" t="inlineStr">
        <is>
          <t>در نزدیک‌ترین بخش مرتبط</t>
        </is>
      </c>
      <c r="G8" s="12" t="inlineStr">
        <is>
          <t>عمق موضوعی و مسیر مطالعه</t>
        </is>
      </c>
      <c r="H8" s="12" t="inlineStr">
        <is>
          <t>بررسی نشده</t>
        </is>
      </c>
    </row>
    <row r="9" ht="55" customHeight="1">
      <c r="A9" s="12" t="inlineStr">
        <is>
          <t>EC-002 | مبانی CNC</t>
        </is>
      </c>
      <c r="B9" s="12" t="inlineStr">
        <is>
          <t>تراش CNC چیست؟ اجزا، عملیات و نکات انتخاب</t>
        </is>
      </c>
      <c r="C9" s="15" t="inlineStr">
        <is>
          <t>https://elecio.co/fa/blog/تراش-cnc-چیست</t>
        </is>
      </c>
      <c r="D9" s="12" t="inlineStr">
        <is>
          <t>تراش cnc</t>
        </is>
      </c>
      <c r="E9" s="12" t="inlineStr">
        <is>
          <t>راهنمای تراش cnc</t>
        </is>
      </c>
      <c r="F9" s="12" t="inlineStr">
        <is>
          <t>در نزدیک‌ترین بخش مرتبط</t>
        </is>
      </c>
      <c r="G9" s="12" t="inlineStr">
        <is>
          <t>عمق موضوعی و مسیر مطالعه</t>
        </is>
      </c>
      <c r="H9" s="12" t="inlineStr">
        <is>
          <t>بررسی نشده</t>
        </is>
      </c>
    </row>
    <row r="10" ht="55" customHeight="1">
      <c r="A10" s="12" t="inlineStr">
        <is>
          <t>EC-003 | فرز CNC</t>
        </is>
      </c>
      <c r="B10" s="12" t="inlineStr">
        <is>
          <t>محصول Smart DNC</t>
        </is>
      </c>
      <c r="C10" s="15" t="inlineStr">
        <is>
          <t>https://elecio.co/fa/product</t>
        </is>
      </c>
      <c r="D10" s="12" t="inlineStr">
        <is>
          <t>فرز CNC</t>
        </is>
      </c>
      <c r="E10" s="12" t="inlineStr">
        <is>
          <t>راهنمای فرز CNC</t>
        </is>
      </c>
      <c r="F10" s="12" t="inlineStr">
        <is>
          <t>پس از مقدمه یا بخش کاربرد</t>
        </is>
      </c>
      <c r="G10" s="12" t="inlineStr">
        <is>
          <t>انتقال اعتبار به Pillar</t>
        </is>
      </c>
      <c r="H10" s="12" t="inlineStr">
        <is>
          <t>بررسی نشده</t>
        </is>
      </c>
    </row>
    <row r="11" ht="55" customHeight="1">
      <c r="A11" s="12" t="inlineStr">
        <is>
          <t>EC-003 | فرز CNC</t>
        </is>
      </c>
      <c r="B11" s="12" t="inlineStr">
        <is>
          <t>دستگاه CNC چیست؟ انواع، کاربرد و نکات انتخاب</t>
        </is>
      </c>
      <c r="C11" s="15" t="inlineStr">
        <is>
          <t>https://elecio.co/fa/blog/دستگاه-cnc-چیست</t>
        </is>
      </c>
      <c r="D11" s="12" t="inlineStr">
        <is>
          <t>cnc دستگاه</t>
        </is>
      </c>
      <c r="E11" s="12" t="inlineStr">
        <is>
          <t>راهنمای cnc دستگاه</t>
        </is>
      </c>
      <c r="F11" s="12" t="inlineStr">
        <is>
          <t>در نزدیک‌ترین بخش مرتبط</t>
        </is>
      </c>
      <c r="G11" s="12" t="inlineStr">
        <is>
          <t>عمق موضوعی و مسیر مطالعه</t>
        </is>
      </c>
      <c r="H11" s="12" t="inlineStr">
        <is>
          <t>بررسی نشده</t>
        </is>
      </c>
    </row>
    <row r="12" ht="55" customHeight="1">
      <c r="A12" s="12" t="inlineStr">
        <is>
          <t>EC-003 | فرز CNC</t>
        </is>
      </c>
      <c r="B12" s="12" t="inlineStr">
        <is>
          <t>راهنمای خرید فرز CNC؛ چک‌لیست فنی و هزینه‌ها</t>
        </is>
      </c>
      <c r="C12" s="15" t="inlineStr">
        <is>
          <t>https://elecio.co/fa/blog/راهنمای-خرید-فرز-cnc</t>
        </is>
      </c>
      <c r="D12" s="12" t="inlineStr">
        <is>
          <t>خرید فرز</t>
        </is>
      </c>
      <c r="E12" s="12" t="inlineStr">
        <is>
          <t>راهنمای خرید فرز</t>
        </is>
      </c>
      <c r="F12" s="12" t="inlineStr">
        <is>
          <t>در نزدیک‌ترین بخش مرتبط</t>
        </is>
      </c>
      <c r="G12" s="12" t="inlineStr">
        <is>
          <t>عمق موضوعی و مسیر مطالعه</t>
        </is>
      </c>
      <c r="H12" s="12" t="inlineStr">
        <is>
          <t>بررسی نشده</t>
        </is>
      </c>
    </row>
    <row r="13" ht="55" customHeight="1">
      <c r="A13" s="12" t="inlineStr">
        <is>
          <t>EC-004 | اتوماسیون صنعتی</t>
        </is>
      </c>
      <c r="B13" s="12" t="inlineStr">
        <is>
          <t>نرم‌افزار ElecIO</t>
        </is>
      </c>
      <c r="C13" s="15" t="inlineStr">
        <is>
          <t>https://elecio.co/fa/software</t>
        </is>
      </c>
      <c r="D13" s="12" t="inlineStr">
        <is>
          <t>اتوماسیون صنعتی</t>
        </is>
      </c>
      <c r="E13" s="12" t="inlineStr">
        <is>
          <t>راهنمای اتوماسیون صنعتی</t>
        </is>
      </c>
      <c r="F13" s="12" t="inlineStr">
        <is>
          <t>پس از مقدمه یا بخش کاربرد</t>
        </is>
      </c>
      <c r="G13" s="12" t="inlineStr">
        <is>
          <t>انتقال اعتبار به Pillar</t>
        </is>
      </c>
      <c r="H13" s="12" t="inlineStr">
        <is>
          <t>بررسی نشده</t>
        </is>
      </c>
    </row>
    <row r="14" ht="55" customHeight="1">
      <c r="A14" s="12" t="inlineStr">
        <is>
          <t>EC-004 | اتوماسیون صنعتی</t>
        </is>
      </c>
      <c r="B14" s="12" t="inlineStr">
        <is>
          <t>PLC چیست؟ راهنمای کنترل‌گر منطقی برنامه‌پذیر</t>
        </is>
      </c>
      <c r="C14" s="15" t="inlineStr">
        <is>
          <t>https://elecio.co/fa/blog/plc-چیست</t>
        </is>
      </c>
      <c r="D14" s="12" t="inlineStr">
        <is>
          <t>plc</t>
        </is>
      </c>
      <c r="E14" s="12" t="inlineStr">
        <is>
          <t>راهنمای plc</t>
        </is>
      </c>
      <c r="F14" s="12" t="inlineStr">
        <is>
          <t>در نزدیک‌ترین بخش مرتبط</t>
        </is>
      </c>
      <c r="G14" s="12" t="inlineStr">
        <is>
          <t>عمق موضوعی و مسیر مطالعه</t>
        </is>
      </c>
      <c r="H14" s="12" t="inlineStr">
        <is>
          <t>بررسی نشده</t>
        </is>
      </c>
    </row>
    <row r="15" ht="55" customHeight="1">
      <c r="A15" s="12" t="inlineStr">
        <is>
          <t>EC-004 | اتوماسیون صنعتی</t>
        </is>
      </c>
      <c r="B15" s="12" t="inlineStr">
        <is>
          <t>دستگاه CNC چیست؟ انواع، کاربرد و نکات انتخاب</t>
        </is>
      </c>
      <c r="C15" s="15" t="inlineStr">
        <is>
          <t>https://elecio.co/fa/blog/دستگاه-cnc-چیست</t>
        </is>
      </c>
      <c r="D15" s="12" t="inlineStr">
        <is>
          <t>cnc دستگاه</t>
        </is>
      </c>
      <c r="E15" s="12" t="inlineStr">
        <is>
          <t>راهنمای cnc دستگاه</t>
        </is>
      </c>
      <c r="F15" s="12" t="inlineStr">
        <is>
          <t>در نزدیک‌ترین بخش مرتبط</t>
        </is>
      </c>
      <c r="G15" s="12" t="inlineStr">
        <is>
          <t>عمق موضوعی و مسیر مطالعه</t>
        </is>
      </c>
      <c r="H15" s="12" t="inlineStr">
        <is>
          <t>بررسی نشده</t>
        </is>
      </c>
    </row>
    <row r="16" ht="55" customHeight="1">
      <c r="A16" s="12" t="inlineStr">
        <is>
          <t>EC-005 | کنترل صنعتی</t>
        </is>
      </c>
      <c r="B16" s="12" t="inlineStr">
        <is>
          <t>نرم‌افزار ElecIO</t>
        </is>
      </c>
      <c r="C16" s="15" t="inlineStr">
        <is>
          <t>https://elecio.co/fa/software</t>
        </is>
      </c>
      <c r="D16" s="12" t="inlineStr">
        <is>
          <t>کنترل صنعتی</t>
        </is>
      </c>
      <c r="E16" s="12" t="inlineStr">
        <is>
          <t>راهنمای plc</t>
        </is>
      </c>
      <c r="F16" s="12" t="inlineStr">
        <is>
          <t>پس از مقدمه یا بخش کاربرد</t>
        </is>
      </c>
      <c r="G16" s="12" t="inlineStr">
        <is>
          <t>انتقال اعتبار به Pillar</t>
        </is>
      </c>
      <c r="H16" s="12" t="inlineStr">
        <is>
          <t>بررسی نشده</t>
        </is>
      </c>
    </row>
    <row r="17" ht="55" customHeight="1">
      <c r="A17" s="12" t="inlineStr">
        <is>
          <t>EC-005 | کنترل صنعتی</t>
        </is>
      </c>
      <c r="B17" s="12" t="inlineStr">
        <is>
          <t>اتوماسیون صنعتی چیست؟ اجزا، سطوح و کاربردها</t>
        </is>
      </c>
      <c r="C17" s="15" t="inlineStr">
        <is>
          <t>https://elecio.co/fa/blog/اتوماسیون-صنعتی-چیست</t>
        </is>
      </c>
      <c r="D17" s="12" t="inlineStr">
        <is>
          <t>اتوماسیون صنعتی</t>
        </is>
      </c>
      <c r="E17" s="12" t="inlineStr">
        <is>
          <t>راهنمای اتوماسیون صنعتی</t>
        </is>
      </c>
      <c r="F17" s="12" t="inlineStr">
        <is>
          <t>در نزدیک‌ترین بخش مرتبط</t>
        </is>
      </c>
      <c r="G17" s="12" t="inlineStr">
        <is>
          <t>عمق موضوعی و مسیر مطالعه</t>
        </is>
      </c>
      <c r="H17" s="12" t="inlineStr">
        <is>
          <t>بررسی نشده</t>
        </is>
      </c>
    </row>
    <row r="18" ht="55" customHeight="1">
      <c r="A18" s="12" t="inlineStr">
        <is>
          <t>EC-005 | کنترل صنعتی</t>
        </is>
      </c>
      <c r="B18" s="12" t="inlineStr">
        <is>
          <t>جی کد چیست؟ راهنمای کامل G-code برای دستگاه CNC</t>
        </is>
      </c>
      <c r="C18" s="15" t="inlineStr">
        <is>
          <t>https://elecio.co/fa/blog/جی-کد-چیست</t>
        </is>
      </c>
      <c r="D18" s="12" t="inlineStr">
        <is>
          <t>جی کد</t>
        </is>
      </c>
      <c r="E18" s="12" t="inlineStr">
        <is>
          <t>راهنمای جی کد</t>
        </is>
      </c>
      <c r="F18" s="12" t="inlineStr">
        <is>
          <t>در نزدیک‌ترین بخش مرتبط</t>
        </is>
      </c>
      <c r="G18" s="12" t="inlineStr">
        <is>
          <t>عمق موضوعی و مسیر مطالعه</t>
        </is>
      </c>
      <c r="H18" s="12" t="inlineStr">
        <is>
          <t>بررسی نشده</t>
        </is>
      </c>
    </row>
    <row r="19" ht="55" customHeight="1">
      <c r="A19" s="12" t="inlineStr">
        <is>
          <t>EC-006 | تراش CNC</t>
        </is>
      </c>
      <c r="B19" s="12" t="inlineStr">
        <is>
          <t>محصول Smart DNC</t>
        </is>
      </c>
      <c r="C19" s="15" t="inlineStr">
        <is>
          <t>https://elecio.co/fa/product</t>
        </is>
      </c>
      <c r="D19" s="12" t="inlineStr">
        <is>
          <t>تراش CNC</t>
        </is>
      </c>
      <c r="E19" s="12" t="inlineStr">
        <is>
          <t>راهنمای تراش cnc</t>
        </is>
      </c>
      <c r="F19" s="12" t="inlineStr">
        <is>
          <t>پس از مقدمه یا بخش کاربرد</t>
        </is>
      </c>
      <c r="G19" s="12" t="inlineStr">
        <is>
          <t>انتقال اعتبار به Pillar</t>
        </is>
      </c>
      <c r="H19" s="12" t="inlineStr">
        <is>
          <t>بررسی نشده</t>
        </is>
      </c>
    </row>
    <row r="20" ht="55" customHeight="1">
      <c r="A20" s="12" t="inlineStr">
        <is>
          <t>EC-006 | تراش CNC</t>
        </is>
      </c>
      <c r="B20" s="12" t="inlineStr">
        <is>
          <t>دستگاه CNC چیست؟ انواع، کاربرد و نکات انتخاب</t>
        </is>
      </c>
      <c r="C20" s="15" t="inlineStr">
        <is>
          <t>https://elecio.co/fa/blog/دستگاه-cnc-چیست</t>
        </is>
      </c>
      <c r="D20" s="12" t="inlineStr">
        <is>
          <t>cnc دستگاه</t>
        </is>
      </c>
      <c r="E20" s="12" t="inlineStr">
        <is>
          <t>راهنمای cnc دستگاه</t>
        </is>
      </c>
      <c r="F20" s="12" t="inlineStr">
        <is>
          <t>در نزدیک‌ترین بخش مرتبط</t>
        </is>
      </c>
      <c r="G20" s="12" t="inlineStr">
        <is>
          <t>عمق موضوعی و مسیر مطالعه</t>
        </is>
      </c>
      <c r="H20" s="12" t="inlineStr">
        <is>
          <t>بررسی نشده</t>
        </is>
      </c>
    </row>
    <row r="21" ht="55" customHeight="1">
      <c r="A21" s="12" t="inlineStr">
        <is>
          <t>EC-006 | تراش CNC</t>
        </is>
      </c>
      <c r="B21" s="12" t="inlineStr">
        <is>
          <t>ماشین‌کاری چیست؟ فرایندها، ابزارها و کاربردها</t>
        </is>
      </c>
      <c r="C21" s="15" t="inlineStr">
        <is>
          <t>https://elecio.co/fa/blog/ماشین-کاری-چیست</t>
        </is>
      </c>
      <c r="D21" s="12" t="inlineStr">
        <is>
          <t>ماشین‌کاری</t>
        </is>
      </c>
      <c r="E21" s="12" t="inlineStr">
        <is>
          <t>راهنمای ماشین‌کاری</t>
        </is>
      </c>
      <c r="F21" s="12" t="inlineStr">
        <is>
          <t>در نزدیک‌ترین بخش مرتبط</t>
        </is>
      </c>
      <c r="G21" s="12" t="inlineStr">
        <is>
          <t>عمق موضوعی و مسیر مطالعه</t>
        </is>
      </c>
      <c r="H21" s="12" t="inlineStr">
        <is>
          <t>بررسی نشده</t>
        </is>
      </c>
    </row>
    <row r="22" ht="55" customHeight="1">
      <c r="A22" s="12" t="inlineStr">
        <is>
          <t>EC-007 | ماشین‌کاری</t>
        </is>
      </c>
      <c r="B22" s="12" t="inlineStr">
        <is>
          <t>مجله ElecIO</t>
        </is>
      </c>
      <c r="C22" s="15" t="inlineStr">
        <is>
          <t>https://elecio.co/fa/blog</t>
        </is>
      </c>
      <c r="D22" s="12" t="inlineStr">
        <is>
          <t>ماشین‌کاری</t>
        </is>
      </c>
      <c r="E22" s="12" t="inlineStr">
        <is>
          <t>راهنمای ماشین‌کاری</t>
        </is>
      </c>
      <c r="F22" s="12" t="inlineStr">
        <is>
          <t>پس از مقدمه یا بخش کاربرد</t>
        </is>
      </c>
      <c r="G22" s="12" t="inlineStr">
        <is>
          <t>انتقال اعتبار به Pillar</t>
        </is>
      </c>
      <c r="H22" s="12" t="inlineStr">
        <is>
          <t>بررسی نشده</t>
        </is>
      </c>
    </row>
    <row r="23" ht="55" customHeight="1">
      <c r="A23" s="12" t="inlineStr">
        <is>
          <t>EC-007 | ماشین‌کاری</t>
        </is>
      </c>
      <c r="B23" s="12" t="inlineStr">
        <is>
          <t>فرز CNC چیست؟ راهنمای انواع، اجزا و کاربردها</t>
        </is>
      </c>
      <c r="C23" s="15" t="inlineStr">
        <is>
          <t>https://elecio.co/fa/blog/فرز-cnc-چیست</t>
        </is>
      </c>
      <c r="D23" s="12" t="inlineStr">
        <is>
          <t>فرز CNC</t>
        </is>
      </c>
      <c r="E23" s="12" t="inlineStr">
        <is>
          <t>راهنمای فرز CNC</t>
        </is>
      </c>
      <c r="F23" s="12" t="inlineStr">
        <is>
          <t>در نزدیک‌ترین بخش مرتبط</t>
        </is>
      </c>
      <c r="G23" s="12" t="inlineStr">
        <is>
          <t>عمق موضوعی و مسیر مطالعه</t>
        </is>
      </c>
      <c r="H23" s="12" t="inlineStr">
        <is>
          <t>بررسی نشده</t>
        </is>
      </c>
    </row>
    <row r="24" ht="55" customHeight="1">
      <c r="A24" s="12" t="inlineStr">
        <is>
          <t>EC-007 | ماشین‌کاری</t>
        </is>
      </c>
      <c r="B24" s="12" t="inlineStr">
        <is>
          <t>تراش CNC چیست؟ اجزا، عملیات و نکات انتخاب</t>
        </is>
      </c>
      <c r="C24" s="15" t="inlineStr">
        <is>
          <t>https://elecio.co/fa/blog/تراش-cnc-چیست</t>
        </is>
      </c>
      <c r="D24" s="12" t="inlineStr">
        <is>
          <t>تراش cnc</t>
        </is>
      </c>
      <c r="E24" s="12" t="inlineStr">
        <is>
          <t>راهنمای تراش cnc</t>
        </is>
      </c>
      <c r="F24" s="12" t="inlineStr">
        <is>
          <t>در نزدیک‌ترین بخش مرتبط</t>
        </is>
      </c>
      <c r="G24" s="12" t="inlineStr">
        <is>
          <t>عمق موضوعی و مسیر مطالعه</t>
        </is>
      </c>
      <c r="H24" s="12" t="inlineStr">
        <is>
          <t>بررسی نشده</t>
        </is>
      </c>
    </row>
    <row r="25" ht="55" customHeight="1">
      <c r="A25" s="12" t="inlineStr">
        <is>
          <t>EC-008 | نرم‌افزار CAM</t>
        </is>
      </c>
      <c r="B25" s="12" t="inlineStr">
        <is>
          <t>صفحه برنامه‌نویسان CNC</t>
        </is>
      </c>
      <c r="C25" s="15" t="inlineStr">
        <is>
          <t>https://elecio.co/fa/for/programmers</t>
        </is>
      </c>
      <c r="D25" s="12" t="inlineStr">
        <is>
          <t>نرم‌افزار CAM</t>
        </is>
      </c>
      <c r="E25" s="12" t="inlineStr">
        <is>
          <t>راهنمای مسترکم</t>
        </is>
      </c>
      <c r="F25" s="12" t="inlineStr">
        <is>
          <t>پس از مقدمه یا بخش کاربرد</t>
        </is>
      </c>
      <c r="G25" s="12" t="inlineStr">
        <is>
          <t>انتقال اعتبار به Pillar</t>
        </is>
      </c>
      <c r="H25" s="12" t="inlineStr">
        <is>
          <t>بررسی نشده</t>
        </is>
      </c>
    </row>
    <row r="26" ht="55" customHeight="1">
      <c r="A26" s="12" t="inlineStr">
        <is>
          <t>EC-008 | نرم‌افزار CAM</t>
        </is>
      </c>
      <c r="B26" s="12" t="inlineStr">
        <is>
          <t>جی کد چیست؟ راهنمای کامل G-code برای دستگاه CNC</t>
        </is>
      </c>
      <c r="C26" s="15" t="inlineStr">
        <is>
          <t>https://elecio.co/fa/blog/جی-کد-چیست</t>
        </is>
      </c>
      <c r="D26" s="12" t="inlineStr">
        <is>
          <t>جی کد</t>
        </is>
      </c>
      <c r="E26" s="12" t="inlineStr">
        <is>
          <t>راهنمای جی کد</t>
        </is>
      </c>
      <c r="F26" s="12" t="inlineStr">
        <is>
          <t>در نزدیک‌ترین بخش مرتبط</t>
        </is>
      </c>
      <c r="G26" s="12" t="inlineStr">
        <is>
          <t>عمق موضوعی و مسیر مطالعه</t>
        </is>
      </c>
      <c r="H26" s="12" t="inlineStr">
        <is>
          <t>بررسی نشده</t>
        </is>
      </c>
    </row>
    <row r="27" ht="55" customHeight="1">
      <c r="A27" s="12" t="inlineStr">
        <is>
          <t>EC-008 | نرم‌افزار CAM</t>
        </is>
      </c>
      <c r="B27" s="12" t="inlineStr">
        <is>
          <t>پاورمیل چیست؟ کاربرد PowerMill در ماشین‌کاری CNC</t>
        </is>
      </c>
      <c r="C27" s="15" t="inlineStr">
        <is>
          <t>https://elecio.co/fa/blog/پاورمیل-چیست</t>
        </is>
      </c>
      <c r="D27" s="12" t="inlineStr">
        <is>
          <t>پاورمیل</t>
        </is>
      </c>
      <c r="E27" s="12" t="inlineStr">
        <is>
          <t>راهنمای پاورمیل</t>
        </is>
      </c>
      <c r="F27" s="12" t="inlineStr">
        <is>
          <t>در نزدیک‌ترین بخش مرتبط</t>
        </is>
      </c>
      <c r="G27" s="12" t="inlineStr">
        <is>
          <t>عمق موضوعی و مسیر مطالعه</t>
        </is>
      </c>
      <c r="H27" s="12" t="inlineStr">
        <is>
          <t>بررسی نشده</t>
        </is>
      </c>
    </row>
    <row r="28" ht="55" customHeight="1">
      <c r="A28" s="12" t="inlineStr">
        <is>
          <t>EC-009 | نرم‌افزار CAM</t>
        </is>
      </c>
      <c r="B28" s="12" t="inlineStr">
        <is>
          <t>صفحه برنامه‌نویسان CNC</t>
        </is>
      </c>
      <c r="C28" s="15" t="inlineStr">
        <is>
          <t>https://elecio.co/fa/for/programmers</t>
        </is>
      </c>
      <c r="D28" s="12" t="inlineStr">
        <is>
          <t>نرم‌افزار CAM</t>
        </is>
      </c>
      <c r="E28" s="12" t="inlineStr">
        <is>
          <t>راهنمای پاورمیل</t>
        </is>
      </c>
      <c r="F28" s="12" t="inlineStr">
        <is>
          <t>پس از مقدمه یا بخش کاربرد</t>
        </is>
      </c>
      <c r="G28" s="12" t="inlineStr">
        <is>
          <t>انتقال اعتبار به Pillar</t>
        </is>
      </c>
      <c r="H28" s="12" t="inlineStr">
        <is>
          <t>بررسی نشده</t>
        </is>
      </c>
    </row>
    <row r="29" ht="55" customHeight="1">
      <c r="A29" s="12" t="inlineStr">
        <is>
          <t>EC-009 | نرم‌افزار CAM</t>
        </is>
      </c>
      <c r="B29" s="12" t="inlineStr">
        <is>
          <t>مسترکم چیست؟ کاربرد Mastercam در برنامه‌نویسی CNC</t>
        </is>
      </c>
      <c r="C29" s="15" t="inlineStr">
        <is>
          <t>https://elecio.co/fa/blog/مسترکم-چیست</t>
        </is>
      </c>
      <c r="D29" s="12" t="inlineStr">
        <is>
          <t>مسترکم</t>
        </is>
      </c>
      <c r="E29" s="12" t="inlineStr">
        <is>
          <t>راهنمای مسترکم</t>
        </is>
      </c>
      <c r="F29" s="12" t="inlineStr">
        <is>
          <t>در نزدیک‌ترین بخش مرتبط</t>
        </is>
      </c>
      <c r="G29" s="12" t="inlineStr">
        <is>
          <t>عمق موضوعی و مسیر مطالعه</t>
        </is>
      </c>
      <c r="H29" s="12" t="inlineStr">
        <is>
          <t>بررسی نشده</t>
        </is>
      </c>
    </row>
    <row r="30" ht="55" customHeight="1">
      <c r="A30" s="12" t="inlineStr">
        <is>
          <t>EC-009 | نرم‌افزار CAM</t>
        </is>
      </c>
      <c r="B30" s="12" t="inlineStr">
        <is>
          <t>ماشین‌کاری چیست؟ فرایندها، ابزارها و کاربردها</t>
        </is>
      </c>
      <c r="C30" s="15" t="inlineStr">
        <is>
          <t>https://elecio.co/fa/blog/ماشین-کاری-چیست</t>
        </is>
      </c>
      <c r="D30" s="12" t="inlineStr">
        <is>
          <t>ماشین‌کاری</t>
        </is>
      </c>
      <c r="E30" s="12" t="inlineStr">
        <is>
          <t>راهنمای ماشین‌کاری</t>
        </is>
      </c>
      <c r="F30" s="12" t="inlineStr">
        <is>
          <t>در نزدیک‌ترین بخش مرتبط</t>
        </is>
      </c>
      <c r="G30" s="12" t="inlineStr">
        <is>
          <t>عمق موضوعی و مسیر مطالعه</t>
        </is>
      </c>
      <c r="H30" s="12" t="inlineStr">
        <is>
          <t>بررسی نشده</t>
        </is>
      </c>
    </row>
    <row r="31" ht="55" customHeight="1">
      <c r="A31" s="12" t="inlineStr">
        <is>
          <t>EC-010 | خرید دستگاه CNC</t>
        </is>
      </c>
      <c r="B31" s="12" t="inlineStr">
        <is>
          <t>تماس و مشاوره</t>
        </is>
      </c>
      <c r="C31" s="15" t="inlineStr">
        <is>
          <t>https://elecio.co/fa/contact</t>
        </is>
      </c>
      <c r="D31" s="12" t="inlineStr">
        <is>
          <t>خرید دستگاه CNC</t>
        </is>
      </c>
      <c r="E31" s="12" t="inlineStr">
        <is>
          <t>راهنمای خرید فرز</t>
        </is>
      </c>
      <c r="F31" s="12" t="inlineStr">
        <is>
          <t>پس از مقدمه یا بخش کاربرد</t>
        </is>
      </c>
      <c r="G31" s="12" t="inlineStr">
        <is>
          <t>انتقال اعتبار به Pillar</t>
        </is>
      </c>
      <c r="H31" s="12" t="inlineStr">
        <is>
          <t>بررسی نشده</t>
        </is>
      </c>
    </row>
    <row r="32" ht="55" customHeight="1">
      <c r="A32" s="12" t="inlineStr">
        <is>
          <t>EC-010 | خرید دستگاه CNC</t>
        </is>
      </c>
      <c r="B32" s="12" t="inlineStr">
        <is>
          <t>فرز CNC چیست؟ راهنمای انواع، اجزا و کاربردها</t>
        </is>
      </c>
      <c r="C32" s="15" t="inlineStr">
        <is>
          <t>https://elecio.co/fa/blog/فرز-cnc-چیست</t>
        </is>
      </c>
      <c r="D32" s="12" t="inlineStr">
        <is>
          <t>فرز CNC</t>
        </is>
      </c>
      <c r="E32" s="12" t="inlineStr">
        <is>
          <t>راهنمای فرز CNC</t>
        </is>
      </c>
      <c r="F32" s="12" t="inlineStr">
        <is>
          <t>در نزدیک‌ترین بخش مرتبط</t>
        </is>
      </c>
      <c r="G32" s="12" t="inlineStr">
        <is>
          <t>عمق موضوعی و مسیر مطالعه</t>
        </is>
      </c>
      <c r="H32" s="12" t="inlineStr">
        <is>
          <t>بررسی نشده</t>
        </is>
      </c>
    </row>
    <row r="33" ht="55" customHeight="1">
      <c r="A33" s="12" t="inlineStr">
        <is>
          <t>EC-010 | خرید دستگاه CNC</t>
        </is>
      </c>
      <c r="B33" s="12" t="inlineStr">
        <is>
          <t>دستگاه CNC چیست؟ انواع، کاربرد و نکات انتخاب</t>
        </is>
      </c>
      <c r="C33" s="15" t="inlineStr">
        <is>
          <t>https://elecio.co/fa/blog/دستگاه-cnc-چیست</t>
        </is>
      </c>
      <c r="D33" s="12" t="inlineStr">
        <is>
          <t>cnc دستگاه</t>
        </is>
      </c>
      <c r="E33" s="12" t="inlineStr">
        <is>
          <t>راهنمای cnc دستگاه</t>
        </is>
      </c>
      <c r="F33" s="12" t="inlineStr">
        <is>
          <t>در نزدیک‌ترین بخش مرتبط</t>
        </is>
      </c>
      <c r="G33" s="12" t="inlineStr">
        <is>
          <t>عمق موضوعی و مسیر مطالعه</t>
        </is>
      </c>
      <c r="H33" s="12" t="inlineStr">
        <is>
          <t>بررسی نشده</t>
        </is>
      </c>
    </row>
  </sheetData>
  <autoFilter ref="A3:H33"/>
  <mergeCells count="2">
    <mergeCell ref="A2:H2"/>
    <mergeCell ref="A1:H1"/>
  </mergeCells>
  <dataValidations count="1">
    <dataValidation sqref="H4:H1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'_lists'!$F$1:$F$4</formula1>
    </dataValidation>
  </dataValidation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</hyperlinks>
  <pageMargins left="0.25" right="0.25" top="1" bottom="1" header="0.5" footer="0.5"/>
  <pageSetup fitToWidth="1"/>
  <tableParts count="1">
    <tablePart xmlns:r="http://schemas.openxmlformats.org/officeDocument/2006/relationships" r:id="rId1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rightToLeft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58" customWidth="1" min="4" max="4"/>
    <col width="10" customWidth="1" min="5" max="5"/>
    <col width="18" customWidth="1" min="6" max="6"/>
    <col width="18" customWidth="1" min="7" max="7"/>
    <col width="35" customWidth="1" min="8" max="8"/>
  </cols>
  <sheetData>
    <row r="1" ht="38" customHeight="1">
      <c r="A1" s="1" t="inlineStr">
        <is>
          <t>چک‌لیست کنترل کیفیت مقاله</t>
        </is>
      </c>
    </row>
    <row r="2" ht="32" customHeight="1">
      <c r="A2" s="2" t="inlineStr">
        <is>
          <t>چک‌لیست نهایی هماهنگ با URL فارسی، تصویر ۶۰۰×۴۰۰ و صف انتشار خودکار؛ ردیف‌های قدیمی و تکراری حذف شده‌اند.</t>
        </is>
      </c>
    </row>
    <row r="3" ht="34" customHeight="1">
      <c r="A3" s="11" t="inlineStr">
        <is>
          <t>ردیف</t>
        </is>
      </c>
      <c r="B3" s="11" t="inlineStr">
        <is>
          <t>مرحله</t>
        </is>
      </c>
      <c r="C3" s="11" t="inlineStr">
        <is>
          <t>کنترل ضروری</t>
        </is>
      </c>
      <c r="D3" s="11" t="inlineStr">
        <is>
          <t>معیار قبولی</t>
        </is>
      </c>
      <c r="E3" s="11" t="inlineStr">
        <is>
          <t>وزن</t>
        </is>
      </c>
      <c r="F3" s="11" t="inlineStr">
        <is>
          <t>وضعیت</t>
        </is>
      </c>
      <c r="G3" s="11" t="inlineStr">
        <is>
          <t>مسئول</t>
        </is>
      </c>
      <c r="H3" s="11" t="inlineStr">
        <is>
          <t>یادداشت</t>
        </is>
      </c>
    </row>
    <row r="4" ht="48" customHeight="1">
      <c r="A4" s="12" t="n">
        <v>1</v>
      </c>
      <c r="B4" s="12" t="inlineStr">
        <is>
          <t>استراتژی</t>
        </is>
      </c>
      <c r="C4" s="12" t="inlineStr">
        <is>
          <t>نیت جست‌وجو</t>
        </is>
      </c>
      <c r="D4" s="12" t="inlineStr">
        <is>
          <t>مقاله مستقیماً سؤال یا نیاز اصلی کاربر را پاسخ می‌دهد</t>
        </is>
      </c>
      <c r="E4" s="12" t="n">
        <v>5</v>
      </c>
      <c r="F4" s="12" t="inlineStr">
        <is>
          <t>بررسی نشده</t>
        </is>
      </c>
      <c r="G4" s="12" t="inlineStr"/>
      <c r="H4" s="12" t="inlineStr"/>
    </row>
    <row r="5" ht="48" customHeight="1">
      <c r="A5" s="13" t="n">
        <v>2</v>
      </c>
      <c r="B5" s="13" t="inlineStr">
        <is>
          <t>استراتژی</t>
        </is>
      </c>
      <c r="C5" s="13" t="inlineStr">
        <is>
          <t>عدم هم‌نوع‌خواری</t>
        </is>
      </c>
      <c r="D5" s="13" t="inlineStr">
        <is>
          <t>با مقاله یا صفحه تجاری موجود رقابت مستقیم ندارد</t>
        </is>
      </c>
      <c r="E5" s="13" t="n">
        <v>5</v>
      </c>
      <c r="F5" s="13" t="inlineStr">
        <is>
          <t>بررسی نشده</t>
        </is>
      </c>
      <c r="G5" s="13" t="inlineStr"/>
      <c r="H5" s="13" t="inlineStr"/>
    </row>
    <row r="6" ht="48" customHeight="1">
      <c r="A6" s="12" t="n">
        <v>3</v>
      </c>
      <c r="B6" s="12" t="inlineStr">
        <is>
          <t>تحقیق</t>
        </is>
      </c>
      <c r="C6" s="12" t="inlineStr">
        <is>
          <t>اعتبار منابع</t>
        </is>
      </c>
      <c r="D6" s="12" t="inlineStr">
        <is>
          <t>مشخصات از کاتالوگ/مستند رسمی و ادعاها قابل تأییدند</t>
        </is>
      </c>
      <c r="E6" s="12" t="n">
        <v>5</v>
      </c>
      <c r="F6" s="12" t="inlineStr">
        <is>
          <t>بررسی نشده</t>
        </is>
      </c>
      <c r="G6" s="12" t="inlineStr"/>
      <c r="H6" s="12" t="inlineStr"/>
    </row>
    <row r="7" ht="48" customHeight="1">
      <c r="A7" s="13" t="n">
        <v>4</v>
      </c>
      <c r="B7" s="13" t="inlineStr">
        <is>
          <t>تحقیق</t>
        </is>
      </c>
      <c r="C7" s="13" t="inlineStr">
        <is>
          <t>عدم جعل</t>
        </is>
      </c>
      <c r="D7" s="13" t="inlineStr">
        <is>
          <t>هیچ آمار، قیمت، استاندارد یا ادعای رسمی ساخته نشده است</t>
        </is>
      </c>
      <c r="E7" s="13" t="n">
        <v>5</v>
      </c>
      <c r="F7" s="13" t="inlineStr">
        <is>
          <t>بررسی نشده</t>
        </is>
      </c>
      <c r="G7" s="13" t="inlineStr"/>
      <c r="H7" s="13" t="inlineStr"/>
    </row>
    <row r="8" ht="48" customHeight="1">
      <c r="A8" s="12" t="n">
        <v>5</v>
      </c>
      <c r="B8" s="12" t="inlineStr">
        <is>
          <t>محتوا</t>
        </is>
      </c>
      <c r="C8" s="12" t="inlineStr">
        <is>
          <t>حداقل طول</t>
        </is>
      </c>
      <c r="D8" s="12" t="inlineStr">
        <is>
          <t>حداقل ۱۵۰۰ واژه فارسی مفید؛ بدون پرگویی</t>
        </is>
      </c>
      <c r="E8" s="12" t="n">
        <v>4</v>
      </c>
      <c r="F8" s="12" t="inlineStr">
        <is>
          <t>بررسی نشده</t>
        </is>
      </c>
      <c r="G8" s="12" t="inlineStr"/>
      <c r="H8" s="12" t="inlineStr"/>
    </row>
    <row r="9" ht="48" customHeight="1">
      <c r="A9" s="13" t="n">
        <v>6</v>
      </c>
      <c r="B9" s="13" t="inlineStr">
        <is>
          <t>محتوا</t>
        </is>
      </c>
      <c r="C9" s="13" t="inlineStr">
        <is>
          <t>زبان طبیعی</t>
        </is>
      </c>
      <c r="D9" s="13" t="inlineStr">
        <is>
          <t>روان، حرفه‌ای و متناسب با مخاطب صنعتی ایرانی</t>
        </is>
      </c>
      <c r="E9" s="13" t="n">
        <v>5</v>
      </c>
      <c r="F9" s="13" t="inlineStr">
        <is>
          <t>بررسی نشده</t>
        </is>
      </c>
      <c r="G9" s="13" t="inlineStr"/>
      <c r="H9" s="13" t="inlineStr"/>
    </row>
    <row r="10" ht="48" customHeight="1">
      <c r="A10" s="12" t="n">
        <v>7</v>
      </c>
      <c r="B10" s="12" t="inlineStr">
        <is>
          <t>محتوا</t>
        </is>
      </c>
      <c r="C10" s="12" t="inlineStr">
        <is>
          <t>مقدمه</t>
        </is>
      </c>
      <c r="D10" s="12" t="inlineStr">
        <is>
          <t>مسئله، وعده و مسیر مقاله را کوتاه و روشن بیان می‌کند</t>
        </is>
      </c>
      <c r="E10" s="12" t="n">
        <v>3</v>
      </c>
      <c r="F10" s="12" t="inlineStr">
        <is>
          <t>بررسی نشده</t>
        </is>
      </c>
      <c r="G10" s="12" t="inlineStr"/>
      <c r="H10" s="12" t="inlineStr"/>
    </row>
    <row r="11" ht="48" customHeight="1">
      <c r="A11" s="13" t="n">
        <v>8</v>
      </c>
      <c r="B11" s="13" t="inlineStr">
        <is>
          <t>ساختار</t>
        </is>
      </c>
      <c r="C11" s="13" t="inlineStr">
        <is>
          <t>یک H1</t>
        </is>
      </c>
      <c r="D11" s="13" t="inlineStr">
        <is>
          <t>فقط یک H1 قوی و شامل مفهوم کیورد اصلی</t>
        </is>
      </c>
      <c r="E11" s="13" t="n">
        <v>5</v>
      </c>
      <c r="F11" s="13" t="inlineStr">
        <is>
          <t>بررسی نشده</t>
        </is>
      </c>
      <c r="G11" s="13" t="inlineStr"/>
      <c r="H11" s="13" t="inlineStr"/>
    </row>
    <row r="12" ht="48" customHeight="1">
      <c r="A12" s="12" t="n">
        <v>9</v>
      </c>
      <c r="B12" s="12" t="inlineStr">
        <is>
          <t>ساختار</t>
        </is>
      </c>
      <c r="C12" s="12" t="inlineStr">
        <is>
          <t>H2/H3</t>
        </is>
      </c>
      <c r="D12" s="12" t="inlineStr">
        <is>
          <t>سرفصل‌ها قابل جست‌وجو، منطقی و بدون تکرارند</t>
        </is>
      </c>
      <c r="E12" s="12" t="n">
        <v>4</v>
      </c>
      <c r="F12" s="12" t="inlineStr">
        <is>
          <t>بررسی نشده</t>
        </is>
      </c>
      <c r="G12" s="12" t="inlineStr"/>
      <c r="H12" s="12" t="inlineStr"/>
    </row>
    <row r="13" ht="48" customHeight="1">
      <c r="A13" s="13" t="n">
        <v>10</v>
      </c>
      <c r="B13" s="13" t="inlineStr">
        <is>
          <t>ساختار</t>
        </is>
      </c>
      <c r="C13" s="13" t="inlineStr">
        <is>
          <t>جدول مفید</t>
        </is>
      </c>
      <c r="D13" s="13" t="inlineStr">
        <is>
          <t>حداقل یک جدول فقط در صورت افزایش فهم</t>
        </is>
      </c>
      <c r="E13" s="13" t="n">
        <v>3</v>
      </c>
      <c r="F13" s="13" t="inlineStr">
        <is>
          <t>بررسی نشده</t>
        </is>
      </c>
      <c r="G13" s="13" t="inlineStr"/>
      <c r="H13" s="13" t="inlineStr"/>
    </row>
    <row r="14" ht="48" customHeight="1">
      <c r="A14" s="12" t="n">
        <v>11</v>
      </c>
      <c r="B14" s="12" t="inlineStr">
        <is>
          <t>ساختار</t>
        </is>
      </c>
      <c r="C14" s="12" t="inlineStr">
        <is>
          <t>مثال عملی</t>
        </is>
      </c>
      <c r="D14" s="12" t="inlineStr">
        <is>
          <t>سناریو یا مثال واقعی از کارگاه CNC دارد</t>
        </is>
      </c>
      <c r="E14" s="12" t="n">
        <v>4</v>
      </c>
      <c r="F14" s="12" t="inlineStr">
        <is>
          <t>بررسی نشده</t>
        </is>
      </c>
      <c r="G14" s="12" t="inlineStr"/>
      <c r="H14" s="12" t="inlineStr"/>
    </row>
    <row r="15" ht="48" customHeight="1">
      <c r="A15" s="13" t="n">
        <v>12</v>
      </c>
      <c r="B15" s="13" t="inlineStr">
        <is>
          <t>ساختار</t>
        </is>
      </c>
      <c r="C15" s="13" t="inlineStr">
        <is>
          <t>FAQ</t>
        </is>
      </c>
      <c r="D15" s="13" t="inlineStr">
        <is>
          <t>پرسش‌های واقعی و پاسخ‌های کوتاه و کامل دارد</t>
        </is>
      </c>
      <c r="E15" s="13" t="n">
        <v>4</v>
      </c>
      <c r="F15" s="13" t="inlineStr">
        <is>
          <t>بررسی نشده</t>
        </is>
      </c>
      <c r="G15" s="13" t="inlineStr"/>
      <c r="H15" s="13" t="inlineStr"/>
    </row>
    <row r="16" ht="48" customHeight="1">
      <c r="A16" s="12" t="n">
        <v>13</v>
      </c>
      <c r="B16" s="12" t="inlineStr">
        <is>
          <t>ساختار</t>
        </is>
      </c>
      <c r="C16" s="12" t="inlineStr">
        <is>
          <t>جمع‌بندی</t>
        </is>
      </c>
      <c r="D16" s="12" t="inlineStr">
        <is>
          <t>نتیجه‌گیری تصمیم‌ساز و غیرتکراری دارد</t>
        </is>
      </c>
      <c r="E16" s="12" t="n">
        <v>3</v>
      </c>
      <c r="F16" s="12" t="inlineStr">
        <is>
          <t>بررسی نشده</t>
        </is>
      </c>
      <c r="G16" s="12" t="inlineStr"/>
      <c r="H16" s="12" t="inlineStr"/>
    </row>
    <row r="17" ht="48" customHeight="1">
      <c r="A17" s="13" t="n">
        <v>14</v>
      </c>
      <c r="B17" s="13" t="inlineStr">
        <is>
          <t>سئو</t>
        </is>
      </c>
      <c r="C17" s="13" t="inlineStr">
        <is>
          <t>استفاده طبیعی کیورد</t>
        </is>
      </c>
      <c r="D17" s="13" t="inlineStr">
        <is>
          <t>کیورد و مترادف‌ها بدون تکرار مصنوعی آمده‌اند</t>
        </is>
      </c>
      <c r="E17" s="13" t="n">
        <v>5</v>
      </c>
      <c r="F17" s="13" t="inlineStr">
        <is>
          <t>بررسی نشده</t>
        </is>
      </c>
      <c r="G17" s="13" t="inlineStr"/>
      <c r="H17" s="13" t="inlineStr"/>
    </row>
    <row r="18" ht="48" customHeight="1">
      <c r="A18" s="12" t="n">
        <v>15</v>
      </c>
      <c r="B18" s="12" t="inlineStr">
        <is>
          <t>سئو</t>
        </is>
      </c>
      <c r="C18" s="12" t="inlineStr">
        <is>
          <t>SEO Title</t>
        </is>
      </c>
      <c r="D18" s="12" t="inlineStr">
        <is>
          <t>منحصر‌به‌فرد، واضح و ترجیحاً حداکثر ۶۰ کاراکتر</t>
        </is>
      </c>
      <c r="E18" s="12" t="n">
        <v>4</v>
      </c>
      <c r="F18" s="12" t="inlineStr">
        <is>
          <t>بررسی نشده</t>
        </is>
      </c>
      <c r="G18" s="12" t="inlineStr"/>
      <c r="H18" s="12" t="inlineStr"/>
    </row>
    <row r="19" ht="48" customHeight="1">
      <c r="A19" s="13" t="n">
        <v>16</v>
      </c>
      <c r="B19" s="13" t="inlineStr">
        <is>
          <t>سئو</t>
        </is>
      </c>
      <c r="C19" s="13" t="inlineStr">
        <is>
          <t>Meta Description</t>
        </is>
      </c>
      <c r="D19" s="13" t="inlineStr">
        <is>
          <t>منحصر‌به‌فرد، ترغیب‌کننده و حدود ۱۲۰ تا ۱۶۵ کاراکتر</t>
        </is>
      </c>
      <c r="E19" s="13" t="n">
        <v>4</v>
      </c>
      <c r="F19" s="13" t="inlineStr">
        <is>
          <t>بررسی نشده</t>
        </is>
      </c>
      <c r="G19" s="13" t="inlineStr"/>
      <c r="H19" s="13" t="inlineStr"/>
    </row>
    <row r="20" ht="48" customHeight="1">
      <c r="A20" s="12" t="n">
        <v>17</v>
      </c>
      <c r="B20" s="12" t="inlineStr">
        <is>
          <t>سئو</t>
        </is>
      </c>
      <c r="C20" s="12" t="inlineStr">
        <is>
          <t>Slug</t>
        </is>
      </c>
      <c r="D20" s="12" t="inlineStr">
        <is>
          <t>فارسی یا لاتین، کوتاه، معنادار، دارای خط فاصله و پس از انتشار پایدار است</t>
        </is>
      </c>
      <c r="E20" s="12" t="n">
        <v>3</v>
      </c>
      <c r="F20" s="12" t="inlineStr">
        <is>
          <t>بررسی نشده</t>
        </is>
      </c>
      <c r="G20" s="12" t="inlineStr"/>
      <c r="H20" s="12" t="inlineStr"/>
    </row>
    <row r="21" ht="48" customHeight="1">
      <c r="A21" s="13" t="n">
        <v>18</v>
      </c>
      <c r="B21" s="13" t="inlineStr">
        <is>
          <t>سئو</t>
        </is>
      </c>
      <c r="C21" s="13" t="inlineStr">
        <is>
          <t>لینک داخلی</t>
        </is>
      </c>
      <c r="D21" s="13" t="inlineStr">
        <is>
          <t>به Pillar و دو محتوای مرتبط با انکر طبیعی لینک دارد</t>
        </is>
      </c>
      <c r="E21" s="13" t="n">
        <v>5</v>
      </c>
      <c r="F21" s="13" t="inlineStr">
        <is>
          <t>بررسی نشده</t>
        </is>
      </c>
      <c r="G21" s="13" t="inlineStr"/>
      <c r="H21" s="13" t="inlineStr"/>
    </row>
    <row r="22" ht="48" customHeight="1">
      <c r="A22" s="12" t="n">
        <v>19</v>
      </c>
      <c r="B22" s="12" t="inlineStr">
        <is>
          <t>سئو</t>
        </is>
      </c>
      <c r="C22" s="12" t="inlineStr">
        <is>
          <t>لینک خارجی</t>
        </is>
      </c>
      <c r="D22" s="12" t="inlineStr">
        <is>
          <t>فقط منبع معتبر و ضروری؛ بدون زیاده‌روی</t>
        </is>
      </c>
      <c r="E22" s="12" t="n">
        <v>3</v>
      </c>
      <c r="F22" s="12" t="inlineStr">
        <is>
          <t>بررسی نشده</t>
        </is>
      </c>
      <c r="G22" s="12" t="inlineStr"/>
      <c r="H22" s="12" t="inlineStr"/>
    </row>
    <row r="23" ht="48" customHeight="1">
      <c r="A23" s="13" t="n">
        <v>20</v>
      </c>
      <c r="B23" s="13" t="inlineStr">
        <is>
          <t>سئو</t>
        </is>
      </c>
      <c r="C23" s="13" t="inlineStr">
        <is>
          <t>دسته و برچسب</t>
        </is>
      </c>
      <c r="D23" s="13" t="inlineStr">
        <is>
          <t>دسته اصلی و تعداد محدود برچسب مرتبط تعیین شده</t>
        </is>
      </c>
      <c r="E23" s="13" t="n">
        <v>2</v>
      </c>
      <c r="F23" s="13" t="inlineStr">
        <is>
          <t>بررسی نشده</t>
        </is>
      </c>
      <c r="G23" s="13" t="inlineStr"/>
      <c r="H23" s="13" t="inlineStr"/>
    </row>
    <row r="24" ht="48" customHeight="1">
      <c r="A24" s="12" t="n">
        <v>21</v>
      </c>
      <c r="B24" s="12" t="inlineStr">
        <is>
          <t>تجربه</t>
        </is>
      </c>
      <c r="C24" s="12" t="inlineStr">
        <is>
          <t>خوانایی</t>
        </is>
      </c>
      <c r="D24" s="12" t="inlineStr">
        <is>
          <t>پاراگراف کوتاه، فهرست مناسب و توضیح اصطلاحات دارد</t>
        </is>
      </c>
      <c r="E24" s="12" t="n">
        <v>4</v>
      </c>
      <c r="F24" s="12" t="inlineStr">
        <is>
          <t>بررسی نشده</t>
        </is>
      </c>
      <c r="G24" s="12" t="inlineStr"/>
      <c r="H24" s="12" t="inlineStr"/>
    </row>
    <row r="25" ht="48" customHeight="1">
      <c r="A25" s="13" t="n">
        <v>22</v>
      </c>
      <c r="B25" s="13" t="inlineStr">
        <is>
          <t>تجربه</t>
        </is>
      </c>
      <c r="C25" s="13" t="inlineStr">
        <is>
          <t>CTA</t>
        </is>
      </c>
      <c r="D25" s="13" t="inlineStr">
        <is>
          <t>با مرحله قیف و هدف مقاله هماهنگ است</t>
        </is>
      </c>
      <c r="E25" s="13" t="n">
        <v>4</v>
      </c>
      <c r="F25" s="13" t="inlineStr">
        <is>
          <t>بررسی نشده</t>
        </is>
      </c>
      <c r="G25" s="13" t="inlineStr"/>
      <c r="H25" s="13" t="inlineStr"/>
    </row>
    <row r="26" ht="48" customHeight="1">
      <c r="A26" s="12" t="n">
        <v>23</v>
      </c>
      <c r="B26" s="12" t="inlineStr">
        <is>
          <t>ویرایش</t>
        </is>
      </c>
      <c r="C26" s="12" t="inlineStr">
        <is>
          <t>نیم‌فاصله و نگارش</t>
        </is>
      </c>
      <c r="D26" s="12" t="inlineStr">
        <is>
          <t>املاء، علائم، اعداد و نیم‌فاصله یکدست‌اند</t>
        </is>
      </c>
      <c r="E26" s="12" t="n">
        <v>3</v>
      </c>
      <c r="F26" s="12" t="inlineStr">
        <is>
          <t>بررسی نشده</t>
        </is>
      </c>
      <c r="G26" s="12" t="inlineStr"/>
      <c r="H26" s="12" t="inlineStr"/>
    </row>
    <row r="27" ht="48" customHeight="1">
      <c r="A27" s="13" t="n">
        <v>24</v>
      </c>
      <c r="B27" s="13" t="inlineStr">
        <is>
          <t>ویرایش</t>
        </is>
      </c>
      <c r="C27" s="13" t="inlineStr">
        <is>
          <t>تکرار</t>
        </is>
      </c>
      <c r="D27" s="13" t="inlineStr">
        <is>
          <t>بخش‌های تکراری و جمله‌های رباتیک حذف شده‌اند</t>
        </is>
      </c>
      <c r="E27" s="13" t="n">
        <v>4</v>
      </c>
      <c r="F27" s="13" t="inlineStr">
        <is>
          <t>بررسی نشده</t>
        </is>
      </c>
      <c r="G27" s="13" t="inlineStr"/>
      <c r="H27" s="13" t="inlineStr"/>
    </row>
    <row r="28" ht="48" customHeight="1">
      <c r="A28" s="12" t="n">
        <v>25</v>
      </c>
      <c r="B28" s="12" t="inlineStr">
        <is>
          <t>انتشار</t>
        </is>
      </c>
      <c r="C28" s="12" t="inlineStr">
        <is>
          <t>لینک‌ها</t>
        </is>
      </c>
      <c r="D28" s="12" t="inlineStr">
        <is>
          <t>تمام لینک‌ها باز و مقصدشان درست است</t>
        </is>
      </c>
      <c r="E28" s="12" t="n">
        <v>5</v>
      </c>
      <c r="F28" s="12" t="inlineStr">
        <is>
          <t>بررسی نشده</t>
        </is>
      </c>
      <c r="G28" s="12" t="inlineStr"/>
      <c r="H28" s="12" t="inlineStr"/>
    </row>
    <row r="29" ht="48" customHeight="1">
      <c r="A29" s="13" t="n">
        <v>26</v>
      </c>
      <c r="B29" s="13" t="inlineStr">
        <is>
          <t>انتشار</t>
        </is>
      </c>
      <c r="C29" s="13" t="inlineStr">
        <is>
          <t>نمایش موبایل</t>
        </is>
      </c>
      <c r="D29" s="13" t="inlineStr">
        <is>
          <t>جدول، تیتر و پاراگراف روی موبایل خواناست</t>
        </is>
      </c>
      <c r="E29" s="13" t="n">
        <v>5</v>
      </c>
      <c r="F29" s="13" t="inlineStr">
        <is>
          <t>بررسی نشده</t>
        </is>
      </c>
      <c r="G29" s="13" t="inlineStr"/>
      <c r="H29" s="13" t="inlineStr"/>
    </row>
    <row r="30" ht="48" customHeight="1">
      <c r="A30" s="12" t="n">
        <v>27</v>
      </c>
      <c r="B30" s="12" t="inlineStr">
        <is>
          <t>پس از انتشار</t>
        </is>
      </c>
      <c r="C30" s="12" t="inlineStr">
        <is>
          <t>ایندکس</t>
        </is>
      </c>
      <c r="D30" s="12" t="inlineStr">
        <is>
          <t>Canonical، sitemap و وضعیت index بررسی شده</t>
        </is>
      </c>
      <c r="E30" s="12" t="n">
        <v>4</v>
      </c>
      <c r="F30" s="12" t="inlineStr">
        <is>
          <t>بررسی نشده</t>
        </is>
      </c>
      <c r="G30" s="12" t="inlineStr"/>
      <c r="H30" s="12" t="inlineStr"/>
    </row>
    <row r="31" ht="48" customHeight="1">
      <c r="A31" s="13" t="n">
        <v>28</v>
      </c>
      <c r="B31" s="13" t="inlineStr">
        <is>
          <t>پس از انتشار</t>
        </is>
      </c>
      <c r="C31" s="13" t="inlineStr">
        <is>
          <t>پایش</t>
        </is>
      </c>
      <c r="D31" s="13" t="inlineStr">
        <is>
          <t>تاریخ بازبینی GSC و به‌روزرسانی مشخص شده</t>
        </is>
      </c>
      <c r="E31" s="13" t="n">
        <v>3</v>
      </c>
      <c r="F31" s="13" t="inlineStr">
        <is>
          <t>بررسی نشده</t>
        </is>
      </c>
      <c r="G31" s="13" t="inlineStr"/>
      <c r="H31" s="13" t="inlineStr"/>
    </row>
    <row r="32" ht="48" customHeight="1">
      <c r="A32" s="12" t="n">
        <v>29</v>
      </c>
      <c r="B32" s="12" t="inlineStr">
        <is>
          <t>تصویر</t>
        </is>
      </c>
      <c r="C32" s="12" t="inlineStr">
        <is>
          <t>تصویر شاخص ۶۰۰×۴۰۰</t>
        </is>
      </c>
      <c r="D32" s="12" t="inlineStr">
        <is>
          <t>یک تصویر جنرال و مرتبط، دقیقاً ۶۰۰×۴۰۰، نسبت ۳:۲، WebP و بدون نوشته/لوگو</t>
        </is>
      </c>
      <c r="E32" s="12" t="n">
        <v>5</v>
      </c>
      <c r="F32" s="12" t="inlineStr">
        <is>
          <t>بررسی نشده</t>
        </is>
      </c>
      <c r="G32" s="12" t="n"/>
      <c r="H32" s="12" t="n"/>
    </row>
    <row r="33" ht="48" customHeight="1">
      <c r="A33" s="12" t="n">
        <v>30</v>
      </c>
      <c r="B33" s="12" t="inlineStr">
        <is>
          <t>تصویر</t>
        </is>
      </c>
      <c r="C33" s="12" t="inlineStr">
        <is>
          <t>تصاویر داخل متن</t>
        </is>
      </c>
      <c r="D33" s="12" t="inlineStr">
        <is>
          <t>فقط تصویر، دیاگرام یا اسکرین‌شاتی که فهم فنی را افزایش دهد؛ تعداد اجباری نیست</t>
        </is>
      </c>
      <c r="E33" s="12" t="n">
        <v>3</v>
      </c>
      <c r="F33" s="12" t="inlineStr">
        <is>
          <t>بررسی نشده</t>
        </is>
      </c>
      <c r="G33" s="12" t="n"/>
      <c r="H33" s="12" t="n"/>
    </row>
    <row r="34" ht="48" customHeight="1">
      <c r="A34" s="12" t="n">
        <v>31</v>
      </c>
      <c r="B34" s="12" t="inlineStr">
        <is>
          <t>تصویر</t>
        </is>
      </c>
      <c r="C34" s="12" t="inlineStr">
        <is>
          <t>نام فایل و alt</t>
        </is>
      </c>
      <c r="D34" s="12" t="inlineStr">
        <is>
          <t>نام توصیفی و دارای خط فاصله؛ alt مشاهدات واقعی تصویر را بدون تکرار مصنوعی keyword بیان کند</t>
        </is>
      </c>
      <c r="E34" s="12" t="n">
        <v>5</v>
      </c>
      <c r="F34" s="12" t="inlineStr">
        <is>
          <t>بررسی نشده</t>
        </is>
      </c>
      <c r="G34" s="12" t="n"/>
      <c r="H34" s="12" t="n"/>
    </row>
    <row r="35" ht="48" customHeight="1">
      <c r="A35" s="12" t="n">
        <v>32</v>
      </c>
      <c r="B35" s="12" t="inlineStr">
        <is>
          <t>سئو</t>
        </is>
      </c>
      <c r="C35" s="12" t="inlineStr">
        <is>
          <t>URL فارسی نهایی</t>
        </is>
      </c>
      <c r="D35" s="12" t="inlineStr">
        <is>
          <t>مطابق ستون URL نهایی اکسل، پاسخ ۲۰۰، canonical خودارجاع، بدون تاریخ و پارامتر</t>
        </is>
      </c>
      <c r="E35" s="12" t="n">
        <v>5</v>
      </c>
      <c r="F35" s="12" t="inlineStr">
        <is>
          <t>بررسی نشده</t>
        </is>
      </c>
      <c r="G35" s="12" t="n"/>
      <c r="H35" s="12" t="n"/>
    </row>
    <row r="36" ht="48" customHeight="1">
      <c r="A36" s="12" t="n">
        <v>33</v>
      </c>
      <c r="B36" s="12" t="inlineStr">
        <is>
          <t>انتشار</t>
        </is>
      </c>
      <c r="C36" s="12" t="inlineStr">
        <is>
          <t>صف خودکار</t>
        </is>
      </c>
      <c r="D36" s="12" t="inlineStr">
        <is>
          <t>متن، keyword، Title، Meta، دسته، تصویر، alt و index کامل؛ سپس Active Queue روشن شود</t>
        </is>
      </c>
      <c r="E36" s="12" t="n">
        <v>5</v>
      </c>
      <c r="F36" s="12" t="inlineStr">
        <is>
          <t>بررسی نشده</t>
        </is>
      </c>
      <c r="G36" s="12" t="n"/>
      <c r="H36" s="12" t="n"/>
    </row>
    <row r="37" ht="48" customHeight="1"/>
    <row r="38" ht="48" customHeight="1"/>
    <row r="39" ht="48" customHeight="1"/>
    <row r="40" ht="48" customHeight="1"/>
    <row r="41" ht="48" customHeight="1"/>
    <row r="42" ht="48" customHeight="1"/>
    <row r="43" ht="48" customHeight="1"/>
  </sheetData>
  <autoFilter ref="A3:H36"/>
  <mergeCells count="2">
    <mergeCell ref="A2:H2"/>
    <mergeCell ref="A1:H1"/>
  </mergeCells>
  <conditionalFormatting sqref="F4:F31">
    <cfRule type="expression" priority="1" dxfId="2">
      <formula>F4="تأیید"</formula>
    </cfRule>
    <cfRule type="expression" priority="2" dxfId="1">
      <formula>F4="نیازمند اصلاح"</formula>
    </cfRule>
  </conditionalFormatting>
  <dataValidations count="1">
    <dataValidation sqref="F4:F31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'_lists'!$F$1:$F$4</formula1>
    </dataValidation>
  </dataValidations>
  <pageMargins left="0.25" right="0.2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rightToLeft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8" customHeight="1">
      <c r="A1" s="1" t="inlineStr">
        <is>
          <t>پرامپت اختصاصی تولید محتوای ElecIO</t>
        </is>
      </c>
    </row>
    <row r="2" ht="32" customHeight="1">
      <c r="A2" s="2" t="inlineStr">
        <is>
          <t>قالب نهایی برای ۱۰ مقاله فارسی؛ مقادیر متن، URL، لینک و تصویر از شیت بریف مقاله برداشته شوند.</t>
        </is>
      </c>
    </row>
    <row r="4" ht="70" customHeight="1">
      <c r="A4" s="26" t="inlineStr">
        <is>
          <t>نقش</t>
        </is>
      </c>
      <c r="B4" s="12" t="inlineStr">
        <is>
          <t>تو یک نویسنده متخصص سئوی فارسی، استراتژیست محتوای B2B صنعتی و آشنا با CNC، DNC، کنترلرهای FANUC، Siemens، Heidenhain و ارتباط RS232/شبکه هستی.</t>
        </is>
      </c>
      <c r="C4" s="27" t="n"/>
      <c r="D4" s="27" t="n"/>
      <c r="E4" s="27" t="n"/>
      <c r="F4" s="27" t="n"/>
      <c r="G4" s="27" t="n"/>
      <c r="H4" s="28" t="n"/>
    </row>
    <row r="5" ht="70" customHeight="1">
      <c r="A5" s="26" t="inlineStr">
        <is>
          <t>ورودی‌ها</t>
        </is>
      </c>
      <c r="B5" s="12" t="inlineStr">
        <is>
          <t>کلمه کلیدی اصلی: {{کلمه کلیدی اصلی}}
کلمات فرعی: {{کلمات فرعی}}
عنوان: {{عنوان}}
نیت: {{نیت}}
URL فارسی نهایی: {{URL نهایی}}
مخاطب: {{مخاطب}}
CTA: {{CTA}}
منابع تأییدشده: {{منابع}}</t>
        </is>
      </c>
      <c r="C5" s="27" t="n"/>
      <c r="D5" s="27" t="n"/>
      <c r="E5" s="27" t="n"/>
      <c r="F5" s="27" t="n"/>
      <c r="G5" s="27" t="n"/>
      <c r="H5" s="28" t="n"/>
    </row>
    <row r="6" ht="70" customHeight="1">
      <c r="A6" s="26" t="inlineStr">
        <is>
          <t>هدف</t>
        </is>
      </c>
      <c r="B6" s="12" t="inlineStr">
        <is>
          <t>یک مقاله فارسی کامل، کاربردی و قابل انتشار برای وب‌سایت ElecIO بنویس که مسئله واقعی مدیر کارگاه، برنامه‌نویس یا اپراتور CNC را حل کند. انسان‌محور بنویس و از Keyword Stuffing پرهیز کن.</t>
        </is>
      </c>
      <c r="C6" s="27" t="n"/>
      <c r="D6" s="27" t="n"/>
      <c r="E6" s="27" t="n"/>
      <c r="F6" s="27" t="n"/>
      <c r="G6" s="27" t="n"/>
      <c r="H6" s="28" t="n"/>
    </row>
    <row r="7" ht="70" customHeight="1">
      <c r="A7" s="26" t="inlineStr">
        <is>
          <t>محدودیت صحت</t>
        </is>
      </c>
      <c r="B7" s="12" t="inlineStr">
        <is>
          <t>هیچ آمار، قیمت، قانون، استاندارد، سازگاری کنترلر یا مشخصه فنی را اختراع نکن. برای مشخصات ElecIO فقط از کاتالوگ رسمی، صفحات محصول و اطلاعات تأییدشده استفاده کن. اگر داده‌ای موجود نیست، شفاف بگو نیازمند تأیید فنی است.</t>
        </is>
      </c>
      <c r="C7" s="27" t="n"/>
      <c r="D7" s="27" t="n"/>
      <c r="E7" s="27" t="n"/>
      <c r="F7" s="27" t="n"/>
      <c r="G7" s="27" t="n"/>
      <c r="H7" s="28" t="n"/>
    </row>
    <row r="8" ht="70" customHeight="1">
      <c r="A8" s="26" t="inlineStr">
        <is>
          <t>طول و زبان</t>
        </is>
      </c>
      <c r="B8" s="12" t="inlineStr">
        <is>
          <t>حداقل ۱۵۰۰ واژه مفید و کاملاً فارسی. اصطلاحات انگلیسی تخصصی را در صورت نیاز کنار معادل فارسی بیاور. از لحن رباتیک، مقدمه طولانی و تکرار مصنوعی خودداری کن.</t>
        </is>
      </c>
      <c r="C8" s="27" t="n"/>
      <c r="D8" s="27" t="n"/>
      <c r="E8" s="27" t="n"/>
      <c r="F8" s="27" t="n"/>
      <c r="G8" s="27" t="n"/>
      <c r="H8" s="28" t="n"/>
    </row>
    <row r="9" ht="70" customHeight="1">
      <c r="A9" s="26" t="inlineStr">
        <is>
          <t>ساختار</t>
        </is>
      </c>
      <c r="B9" s="12" t="inlineStr">
        <is>
          <t>یک H1 قوی، مقدمه کوتاه، H2های قابل جست‌وجو، H3 برای مراحل/مثال‌ها/اشتباهات، حداقل یک جدول مفید در صورت نیاز، مثال عملی کارگاهی، نکات اجرایی، FAQ واقعی و جمع‌بندی تصمیم‌ساز.</t>
        </is>
      </c>
      <c r="C9" s="27" t="n"/>
      <c r="D9" s="27" t="n"/>
      <c r="E9" s="27" t="n"/>
      <c r="F9" s="27" t="n"/>
      <c r="G9" s="27" t="n"/>
      <c r="H9" s="28" t="n"/>
    </row>
    <row r="10" ht="70" customHeight="1">
      <c r="A10" s="26" t="inlineStr">
        <is>
          <t>SEO Metadata</t>
        </is>
      </c>
      <c r="B10" s="12" t="inlineStr">
        <is>
          <t>در ابتدای خروجی بده: SEO Title، Meta Description، Slug فارسی نهایی، Focus Keyword، Secondary Keywords، دسته و برچسب‌های محدود.</t>
        </is>
      </c>
      <c r="C10" s="27" t="n"/>
      <c r="D10" s="27" t="n"/>
      <c r="E10" s="27" t="n"/>
      <c r="F10" s="27" t="n"/>
      <c r="G10" s="27" t="n"/>
      <c r="H10" s="28" t="n"/>
    </row>
    <row r="11" ht="70" customHeight="1">
      <c r="A11" s="26" t="inlineStr">
        <is>
          <t>لینک‌سازی</t>
        </is>
      </c>
      <c r="B11" s="12" t="inlineStr">
        <is>
          <t>لینک داخلی را با قالب [پیشنهاد لینک داخلی: انکر — URL] و فقط در جای طبیعی پیشنهاد بده. حداقل یک لینک به Pillar مرتبط و دو لینک به مقالات هم‌خوشه. لینک خارجی فقط به منابع رسمی و معتبر، در صورت ارزش واقعی.</t>
        </is>
      </c>
      <c r="C11" s="27" t="n"/>
      <c r="D11" s="27" t="n"/>
      <c r="E11" s="27" t="n"/>
      <c r="F11" s="27" t="n"/>
      <c r="G11" s="27" t="n"/>
      <c r="H11" s="28" t="n"/>
    </row>
    <row r="12" ht="70" customHeight="1">
      <c r="A12" s="26" t="inlineStr">
        <is>
          <t>برنامه تصویر</t>
        </is>
      </c>
      <c r="B12" s="12" t="inlineStr">
        <is>
          <t>تصویر را داخل متن تولید نکن؛ اما عنوان تصویر شاخص، پرامپت، ابعاد دقیق ۶۰۰×۴۰۰، نام فایل WebP و alt را عیناً از بریف مقاله در بخش برنامه تصویر درج کن.</t>
        </is>
      </c>
      <c r="C12" s="27" t="n"/>
      <c r="D12" s="27" t="n"/>
      <c r="E12" s="27" t="n"/>
      <c r="F12" s="27" t="n"/>
      <c r="G12" s="27" t="n"/>
      <c r="H12" s="28" t="n"/>
    </row>
    <row r="13" ht="70" customHeight="1">
      <c r="A13" s="26" t="inlineStr">
        <is>
          <t>خروجی Word</t>
        </is>
      </c>
      <c r="B13" s="12" t="inlineStr">
        <is>
          <t>در صورت درخواست فایل Word: بدون Header و Footer، با Heading Style صحیح، فاصله خطوط ۲.۲، پاراگراف‌های خوانا، فهرست‌های استاندارد و جدول‌های حرفه‌ای تحویل بده.</t>
        </is>
      </c>
      <c r="C13" s="27" t="n"/>
      <c r="D13" s="27" t="n"/>
      <c r="E13" s="27" t="n"/>
      <c r="F13" s="27" t="n"/>
      <c r="G13" s="27" t="n"/>
      <c r="H13" s="28" t="n"/>
    </row>
    <row r="14" ht="70" customHeight="1">
      <c r="A14" s="26" t="inlineStr">
        <is>
          <t>کنترل نهایی</t>
        </is>
      </c>
      <c r="B14" s="12" t="inlineStr">
        <is>
          <t>پیش از تحویل بررسی کن: پاسخ کامل به نیت، ساختار، استفاده طبیعی keyword، منابع، FAQ، جمع‌بندی، سه لینک داخلی، CTA، URL فارسی، تصویر ۶۰۰×۴۰۰، نام فایل و alt.</t>
        </is>
      </c>
      <c r="C14" s="27" t="n"/>
      <c r="D14" s="27" t="n"/>
      <c r="E14" s="27" t="n"/>
      <c r="F14" s="27" t="n"/>
      <c r="G14" s="27" t="n"/>
      <c r="H14" s="28" t="n"/>
    </row>
    <row r="15" ht="70" customHeight="1">
      <c r="A15" s="26" t="inlineStr">
        <is>
          <t>قالب خروجی</t>
        </is>
      </c>
      <c r="B15" s="12" t="inlineStr">
        <is>
          <t>۱) متادیتای SEO و URL فارسی
۲) H1 و مقدمه
۳) بدنه با H2/H3
۴) جدول/چک‌لیست مفید
۵) FAQ
۶) جمع‌بندی و CTA
۷) سه لینک داخلی پیشنهادی
۸) برنامه تصویر شاخص ۶۰۰×۴۰۰</t>
        </is>
      </c>
      <c r="C15" s="27" t="n"/>
      <c r="D15" s="27" t="n"/>
      <c r="E15" s="27" t="n"/>
      <c r="F15" s="27" t="n"/>
      <c r="G15" s="27" t="n"/>
      <c r="H15" s="28" t="n"/>
    </row>
  </sheetData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pageMargins left="0.25" right="0.2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ElecIO</dc:creator>
  <dc:title>ElecIO SEO Content Planner</dc:title>
  <dc:subject>Persian SEO keyword map, content calendar, brief and quality workflow</dc:subject>
  <dcterms:created xsi:type="dcterms:W3CDTF">2026-08-13T07:02:35Z</dcterms:created>
  <dcterms:modified xsi:type="dcterms:W3CDTF">2026-08-27T21:53:18Z</dcterms:modified>
  <cp:keywords>ElecIO, SEO, CNC, DNC, Persian content</cp:keywords>
</cp:coreProperties>
</file>