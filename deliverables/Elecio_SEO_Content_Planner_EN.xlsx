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uide" sheetId="1" state="visible" r:id="rId1"/>
    <sheet name="_lists" sheetId="2" state="visible" r:id="rId2"/>
    <sheet name="Dashboard" sheetId="3" state="visible" r:id="rId3"/>
    <sheet name="Keyword Map" sheetId="4" state="visible" r:id="rId4"/>
    <sheet name="Content Calendar" sheetId="5" state="visible" r:id="rId5"/>
    <sheet name="Article Brief" sheetId="6" state="visible" r:id="rId6"/>
    <sheet name="Target Pages" sheetId="7" state="visible" r:id="rId7"/>
    <sheet name="Internal Links" sheetId="8" state="visible" r:id="rId8"/>
    <sheet name="Quality Control" sheetId="9" state="visible" r:id="rId9"/>
    <sheet name="Content Prompt" sheetId="10" state="visible" r:id="rId10"/>
  </sheets>
  <definedNames/>
</workbook>
</file>

<file path=xl/styles.xml><?xml version="1.0" encoding="utf-8"?>
<styleSheet xmlns="http://schemas.openxmlformats.org/spreadsheetml/2006/main">
  <numFmts count="1">
    <numFmt numFmtId="164" formatCode="yyyy-mm-dd h:mm:ss"/>
  </numFmts>
  <fonts count="8">
    <font>
      <name val="Carlito"/>
      <sz val="11"/>
    </font>
    <font>
      <name val="Carlito"/>
      <color rgb="FF1F2937"/>
      <sz val="10"/>
    </font>
    <font>
      <name val="Carlito"/>
      <b val="1"/>
      <color rgb="FFFFFFFF"/>
      <sz val="16"/>
    </font>
    <font>
      <name val="Carlito"/>
      <color rgb="FF64748B"/>
      <sz val="10"/>
    </font>
    <font>
      <name val="Carlito"/>
      <b val="1"/>
      <color rgb="FF1F2937"/>
      <sz val="11"/>
    </font>
    <font>
      <name val="Carlito"/>
      <b val="1"/>
      <color rgb="FFFFFFFF"/>
      <sz val="10"/>
    </font>
    <font>
      <name val="Carlito"/>
      <b val="1"/>
      <color rgb="FF64748B"/>
      <sz val="11"/>
    </font>
    <font>
      <name val="Carlito"/>
      <b val="1"/>
      <color rgb="FF1677FF"/>
      <sz val="16"/>
    </font>
  </fonts>
  <fills count="7">
    <fill>
      <patternFill/>
    </fill>
    <fill>
      <patternFill patternType="gray125"/>
    </fill>
    <fill>
      <patternFill patternType="solid">
        <fgColor rgb="FF0F172A"/>
      </patternFill>
    </fill>
    <fill>
      <patternFill patternType="solid">
        <fgColor rgb="FFEAF3FF"/>
      </patternFill>
    </fill>
    <fill>
      <patternFill patternType="solid">
        <fgColor rgb="FF0B6EE8"/>
      </patternFill>
    </fill>
    <fill>
      <patternFill patternType="solid">
        <fgColor rgb="FFFFFFFF"/>
      </patternFill>
    </fill>
    <fill>
      <patternFill patternType="solid">
        <fgColor rgb="FFFFF7D6"/>
      </patternFill>
    </fill>
  </fills>
  <borders count="2">
    <border/>
    <border/>
  </borders>
  <cellStyleXfs count="1">
    <xf numFmtId="0" fontId="0" fillId="0" borderId="1"/>
  </cellStyleXfs>
  <cellXfs count="72">
    <xf numFmtId="0" fontId="0" fillId="0" borderId="0" pivotButton="0" quotePrefix="0" xfId="0"/>
    <xf numFmtId="0" fontId="0" fillId="0" borderId="1"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0" borderId="1" pivotButton="0" quotePrefix="0" xfId="0"/>
    <xf numFmtId="0" fontId="1" fillId="0" borderId="1" applyAlignment="1" pivotButton="0" quotePrefix="0" xfId="0">
      <alignment wrapText="1"/>
    </xf>
    <xf numFmtId="0" fontId="1" fillId="0" borderId="1" applyAlignment="1" pivotButton="0" quotePrefix="0" xfId="0">
      <alignment vertical="top" wrapText="1"/>
    </xf>
    <xf numFmtId="0" fontId="0" fillId="2" borderId="0" pivotButton="0" quotePrefix="0" xfId="0"/>
    <xf numFmtId="0" fontId="2" fillId="2" borderId="0" pivotButton="0" quotePrefix="0" xfId="0"/>
    <xf numFmtId="0" fontId="2" fillId="2" borderId="0" applyAlignment="1" pivotButton="0" quotePrefix="0" xfId="0">
      <alignment horizontal="left"/>
    </xf>
    <xf numFmtId="0" fontId="2" fillId="2" borderId="0" applyAlignment="1" pivotButton="0" quotePrefix="0" xfId="0">
      <alignment horizontal="left" vertical="center"/>
    </xf>
    <xf numFmtId="0" fontId="0" fillId="2" borderId="1" pivotButton="0" quotePrefix="0" xfId="0"/>
    <xf numFmtId="0" fontId="2" fillId="2" borderId="1" pivotButton="0" quotePrefix="0" xfId="0"/>
    <xf numFmtId="0" fontId="2" fillId="2" borderId="1" applyAlignment="1" pivotButton="0" quotePrefix="0" xfId="0">
      <alignment horizontal="left"/>
    </xf>
    <xf numFmtId="0" fontId="2" fillId="2" borderId="1" applyAlignment="1" pivotButton="0" quotePrefix="0" xfId="0">
      <alignment horizontal="left" vertical="center"/>
    </xf>
    <xf numFmtId="0" fontId="0" fillId="3" borderId="0" pivotButton="0" quotePrefix="0" xfId="0"/>
    <xf numFmtId="0" fontId="3" fillId="3" borderId="0" pivotButton="0" quotePrefix="0" xfId="0"/>
    <xf numFmtId="0" fontId="3" fillId="3" borderId="0" applyAlignment="1" pivotButton="0" quotePrefix="0" xfId="0">
      <alignment horizontal="left"/>
    </xf>
    <xf numFmtId="0" fontId="3" fillId="3" borderId="0" applyAlignment="1" pivotButton="0" quotePrefix="0" xfId="0">
      <alignment horizontal="left" vertical="center"/>
    </xf>
    <xf numFmtId="0" fontId="0" fillId="3" borderId="1" pivotButton="0" quotePrefix="0" xfId="0"/>
    <xf numFmtId="0" fontId="3" fillId="3" borderId="1" pivotButton="0" quotePrefix="0" xfId="0"/>
    <xf numFmtId="0" fontId="3" fillId="3" borderId="1" applyAlignment="1" pivotButton="0" quotePrefix="0" xfId="0">
      <alignment horizontal="left"/>
    </xf>
    <xf numFmtId="0" fontId="3" fillId="3" borderId="1" applyAlignment="1" pivotButton="0" quotePrefix="0" xfId="0">
      <alignment horizontal="left" vertical="center"/>
    </xf>
    <xf numFmtId="0" fontId="4" fillId="3" borderId="0" pivotButton="0" quotePrefix="0" xfId="0"/>
    <xf numFmtId="0" fontId="4" fillId="3" borderId="0" applyAlignment="1" pivotButton="0" quotePrefix="0" xfId="0">
      <alignment vertical="center"/>
    </xf>
    <xf numFmtId="0" fontId="4" fillId="3" borderId="1" pivotButton="0" quotePrefix="0" xfId="0"/>
    <xf numFmtId="0" fontId="4" fillId="3" borderId="1" applyAlignment="1" pivotButton="0" quotePrefix="0" xfId="0">
      <alignment vertical="center"/>
    </xf>
    <xf numFmtId="0" fontId="2" fillId="2" borderId="0" applyAlignment="1" pivotButton="0" quotePrefix="0" xfId="0">
      <alignment horizontal="left" vertical="center" wrapText="1"/>
    </xf>
    <xf numFmtId="0" fontId="3" fillId="3" borderId="0" applyAlignment="1" pivotButton="0" quotePrefix="0" xfId="0">
      <alignment horizontal="left" vertical="center" wrapText="1"/>
    </xf>
    <xf numFmtId="0" fontId="0" fillId="0" borderId="0" applyAlignment="1" pivotButton="0" quotePrefix="0" xfId="0">
      <alignment wrapText="1"/>
    </xf>
    <xf numFmtId="0" fontId="4" fillId="3" borderId="0" applyAlignment="1" pivotButton="0" quotePrefix="0" xfId="0">
      <alignment vertical="center" wrapText="1"/>
    </xf>
    <xf numFmtId="0" fontId="2" fillId="2" borderId="1" applyAlignment="1" pivotButton="0" quotePrefix="0" xfId="0">
      <alignment horizontal="left" vertical="center" wrapText="1"/>
    </xf>
    <xf numFmtId="0" fontId="3" fillId="3" borderId="1" applyAlignment="1" pivotButton="0" quotePrefix="0" xfId="0">
      <alignment horizontal="left" vertical="center" wrapText="1"/>
    </xf>
    <xf numFmtId="0" fontId="0" fillId="0" borderId="1" applyAlignment="1" pivotButton="0" quotePrefix="0" xfId="0">
      <alignment wrapText="1"/>
    </xf>
    <xf numFmtId="0" fontId="4" fillId="3" borderId="1" applyAlignment="1" pivotButton="0" quotePrefix="0" xfId="0">
      <alignment vertical="center" wrapText="1"/>
    </xf>
    <xf numFmtId="0" fontId="0" fillId="4" borderId="0" pivotButton="0" quotePrefix="0" xfId="0"/>
    <xf numFmtId="0" fontId="5" fillId="4" borderId="0" pivotButton="0" quotePrefix="0" xfId="0"/>
    <xf numFmtId="0" fontId="5" fillId="4" borderId="0" applyAlignment="1" pivotButton="0" quotePrefix="0" xfId="0">
      <alignment wrapText="1"/>
    </xf>
    <xf numFmtId="0" fontId="5" fillId="4" borderId="0" applyAlignment="1" pivotButton="0" quotePrefix="0" xfId="0">
      <alignment horizontal="center" wrapText="1"/>
    </xf>
    <xf numFmtId="0" fontId="5" fillId="4" borderId="0" applyAlignment="1" pivotButton="0" quotePrefix="0" xfId="0">
      <alignment horizontal="center" vertical="center" wrapText="1"/>
    </xf>
    <xf numFmtId="0" fontId="0" fillId="4" borderId="1" pivotButton="0" quotePrefix="0" xfId="0"/>
    <xf numFmtId="0" fontId="5" fillId="4" borderId="1" pivotButton="0" quotePrefix="0" xfId="0"/>
    <xf numFmtId="0" fontId="5" fillId="4" borderId="1" applyAlignment="1" pivotButton="0" quotePrefix="0" xfId="0">
      <alignment wrapText="1"/>
    </xf>
    <xf numFmtId="0" fontId="5" fillId="4" borderId="1" applyAlignment="1" pivotButton="0" quotePrefix="0" xfId="0">
      <alignment horizontal="center" wrapText="1"/>
    </xf>
    <xf numFmtId="0" fontId="5" fillId="4" borderId="1" applyAlignment="1" pivotButton="0" quotePrefix="0" xfId="0">
      <alignment horizontal="center" vertical="center" wrapText="1"/>
    </xf>
    <xf numFmtId="9" fontId="1" fillId="0" borderId="0" applyAlignment="1" pivotButton="0" quotePrefix="0" xfId="0">
      <alignment vertical="top" wrapText="1"/>
    </xf>
    <xf numFmtId="9" fontId="0" fillId="0" borderId="0" pivotButton="0" quotePrefix="0" xfId="0"/>
    <xf numFmtId="9" fontId="1" fillId="0" borderId="1" applyAlignment="1" pivotButton="0" quotePrefix="0" xfId="0">
      <alignment vertical="top" wrapText="1"/>
    </xf>
    <xf numFmtId="9" fontId="0" fillId="0" borderId="1" pivotButton="0" quotePrefix="0" xfId="0"/>
    <xf numFmtId="0" fontId="6" fillId="3" borderId="0" pivotButton="0" quotePrefix="0" xfId="0"/>
    <xf numFmtId="0" fontId="6" fillId="3" borderId="0" applyAlignment="1" pivotButton="0" quotePrefix="0" xfId="0">
      <alignment horizontal="center"/>
    </xf>
    <xf numFmtId="0" fontId="6" fillId="3" borderId="0" applyAlignment="1" pivotButton="0" quotePrefix="0" xfId="0">
      <alignment horizontal="center" vertical="center"/>
    </xf>
    <xf numFmtId="0" fontId="6" fillId="3" borderId="1" pivotButton="0" quotePrefix="0" xfId="0"/>
    <xf numFmtId="0" fontId="6" fillId="3" borderId="1" applyAlignment="1" pivotButton="0" quotePrefix="0" xfId="0">
      <alignment horizontal="center"/>
    </xf>
    <xf numFmtId="0" fontId="6" fillId="3" borderId="1" applyAlignment="1" pivotButton="0" quotePrefix="0" xfId="0">
      <alignment horizontal="center" vertical="center"/>
    </xf>
    <xf numFmtId="0" fontId="0" fillId="5" borderId="0" pivotButton="0" quotePrefix="0" xfId="0"/>
    <xf numFmtId="0" fontId="7" fillId="5" borderId="0" pivotButton="0" quotePrefix="0" xfId="0"/>
    <xf numFmtId="0" fontId="7" fillId="5" borderId="0" applyAlignment="1" pivotButton="0" quotePrefix="0" xfId="0">
      <alignment horizontal="center"/>
    </xf>
    <xf numFmtId="0" fontId="7" fillId="5" borderId="0" applyAlignment="1" pivotButton="0" quotePrefix="0" xfId="0">
      <alignment horizontal="center" vertical="center"/>
    </xf>
    <xf numFmtId="0" fontId="0" fillId="5" borderId="1" pivotButton="0" quotePrefix="0" xfId="0"/>
    <xf numFmtId="0" fontId="7" fillId="5" borderId="1" pivotButton="0" quotePrefix="0" xfId="0"/>
    <xf numFmtId="0" fontId="7" fillId="5" borderId="1" applyAlignment="1" pivotButton="0" quotePrefix="0" xfId="0">
      <alignment horizontal="center"/>
    </xf>
    <xf numFmtId="0" fontId="7" fillId="5" borderId="1" applyAlignment="1" pivotButton="0" quotePrefix="0" xfId="0">
      <alignment horizontal="center" vertical="center"/>
    </xf>
    <xf numFmtId="9" fontId="7" fillId="5" borderId="0" applyAlignment="1" pivotButton="0" quotePrefix="0" xfId="0">
      <alignment horizontal="center" vertical="center"/>
    </xf>
    <xf numFmtId="9" fontId="7" fillId="5" borderId="1" applyAlignment="1" pivotButton="0" quotePrefix="0" xfId="0">
      <alignment horizontal="center" vertical="center"/>
    </xf>
    <xf numFmtId="0" fontId="1" fillId="6" borderId="0" applyAlignment="1" pivotButton="0" quotePrefix="0" xfId="0">
      <alignment vertical="top" wrapText="1"/>
    </xf>
    <xf numFmtId="0" fontId="1" fillId="6" borderId="1" applyAlignment="1" pivotButton="0" quotePrefix="0" xfId="0">
      <alignment vertical="top" wrapText="1"/>
    </xf>
    <xf numFmtId="9" fontId="7" fillId="5" borderId="0" applyAlignment="1" pivotButton="0" quotePrefix="0" xfId="0">
      <alignment horizontal="center" vertical="center"/>
    </xf>
    <xf numFmtId="164" fontId="1" fillId="0" borderId="0" applyAlignment="1" pivotButton="0" quotePrefix="0" xfId="0">
      <alignment vertical="top" wrapText="1"/>
    </xf>
    <xf numFmtId="9" fontId="1" fillId="0" borderId="0" applyAlignment="1" pivotButton="0" quotePrefix="0" xfId="0">
      <alignment vertical="top" wrapText="1"/>
    </xf>
    <xf numFmtId="9" fontId="0" fillId="0" borderId="0" pivotButton="0" quotePrefix="0" xfId="0"/>
  </cellXfs>
  <cellStyles count="1">
    <cellStyle name="Normal" xfId="0"/>
  </cellStyles>
  <dxfs count="6">
    <dxf>
      <font>
        <b val="1"/>
        <color rgb="FFB91C1C"/>
      </font>
      <fill>
        <patternFill patternType="solid">
          <bgColor rgb="FFFFE4E6"/>
        </patternFill>
      </fill>
    </dxf>
    <dxf>
      <font>
        <b val="1"/>
      </font>
      <fill>
        <patternFill patternType="solid">
          <bgColor rgb="FFFFF7D6"/>
        </patternFill>
      </fill>
    </dxf>
    <dxf>
      <font>
        <b val="1"/>
        <color rgb="FF166534"/>
      </font>
      <fill>
        <patternFill patternType="solid">
          <bgColor rgb="FFE8F7EE"/>
        </patternFill>
      </fill>
    </dxf>
    <dxf>
      <font>
        <b val="1"/>
        <color rgb="FF991B1B"/>
      </font>
      <fill>
        <patternFill patternType="solid">
          <bgColor rgb="FFFDECEC"/>
        </patternFill>
      </fill>
    </dxf>
    <dxf>
      <font>
        <b val="1"/>
        <color rgb="FF166534"/>
      </font>
      <fill>
        <patternFill patternType="solid">
          <bgColor rgb="FFE8F7EE"/>
        </patternFill>
      </fill>
    </dxf>
    <dxf>
      <font>
        <b val="1"/>
        <color rgb="FF991B1B"/>
      </font>
      <fill>
        <patternFill patternType="solid">
          <bgColor rgb="FFFDECE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lstStyle/>
          <a:p>
            <a:r>
              <a:t>Content Status Distribution</a:t>
            </a:r>
          </a:p>
        </rich>
      </tx>
    </title>
    <plotArea>
      <pieChart>
        <varyColors val="1"/>
        <ser>
          <idx val="0"/>
          <order val="0"/>
          <tx>
            <v>Count</v>
          </tx>
          <spPr>
            <a:ln>
              <a:prstDash val="solid"/>
            </a:ln>
          </spPr>
          <cat>
            <strRef>
              <f>'Dashboard'!$B$12:$B$20</f>
              <strCache>
                <ptCount val="0"/>
              </strCache>
            </strRef>
          </cat>
          <val>
            <numRef>
              <f>'Dashboard'!$C$12:$C$20</f>
              <numCache>
                <formatCode>General</formatCode>
                <ptCount val="0"/>
              </numCache>
            </numRef>
          </val>
        </ser>
        <firstSliceAng val="0"/>
      </pieChart>
    </plotArea>
    <legend>
      <legendPos val="r"/>
      <overlay val="0"/>
    </legend>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t>Topical Cluster Coverage</a:t>
            </a:r>
          </a:p>
        </rich>
      </tx>
    </title>
    <plotArea>
      <barChart>
        <barDir val="col"/>
        <grouping val="clustered"/>
        <varyColors val="0"/>
        <ser>
          <idx val="0"/>
          <order val="0"/>
          <tx>
            <v>Count</v>
          </tx>
          <spPr>
            <a:ln>
              <a:prstDash val="solid"/>
            </a:ln>
          </spPr>
          <cat>
            <strRef>
              <f>'Dashboard'!$B$24:$B$40</f>
              <strCache>
                <ptCount val="0"/>
              </strCache>
            </strRef>
          </cat>
          <val>
            <numRef>
              <f>'Dashboard'!$C$24:$C$40</f>
              <numCache>
                <formatCode>General</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0</colOff>
      <row>10</row>
      <rowOff>0</rowOff>
    </from>
    <to>
      <col>9</col>
      <colOff>0</colOff>
      <row>22</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0</colOff>
      <row>23</row>
      <rowOff>0</rowOff>
    </from>
    <to>
      <col>9</col>
      <colOff>0</colOff>
      <row>41</row>
      <rowOff>0</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95" customWidth="1" min="2" max="2"/>
  </cols>
  <sheetData>
    <row r="1">
      <c r="A1" s="32" t="inlineStr">
        <is>
          <t>How to Use This Workbook</t>
        </is>
      </c>
      <c r="B1" s="1" t="n"/>
    </row>
    <row r="2">
      <c r="A2" s="33" t="inlineStr">
        <is>
          <t>This workbook is the English-market SEO planning system for ElecIO. It is based on the FA planner structure, but the keyword map is English-native rather than a literal translation.</t>
        </is>
      </c>
      <c r="B2" s="1" t="n"/>
    </row>
    <row r="3">
      <c r="A3" s="30" t="n"/>
      <c r="B3" s="30" t="n"/>
    </row>
    <row r="4">
      <c r="A4" s="31" t="inlineStr">
        <is>
          <t>1. Add real keyword data</t>
        </is>
      </c>
      <c r="B4" s="4" t="inlineStr">
        <is>
          <t>In “Keyword Map”, enter search volume, keyword difficulty, rank, clicks and impressions only from Google Search Console, Keyword Planner, or another trusted SEO dataset.</t>
        </is>
      </c>
    </row>
    <row r="5">
      <c r="A5" s="31" t="inlineStr">
        <is>
          <t>2. Validate English demand</t>
        </is>
      </c>
      <c r="B5" s="4" t="inlineStr">
        <is>
          <t>The English keywords are strategic seed terms. Search demand and country-level opportunity must be validated for your target markets before final prioritization.</t>
        </is>
      </c>
    </row>
    <row r="6">
      <c r="A6" s="31" t="inlineStr">
        <is>
          <t>3. Prioritize</t>
        </is>
      </c>
      <c r="B6" s="4" t="inlineStr">
        <is>
          <t>Start with commercially relevant topics, direct product fit, strong controller-specific intent, and real content gaps. The Dashboard summarizes status and cluster coverage.</t>
        </is>
      </c>
    </row>
    <row r="7">
      <c r="A7" s="31" t="inlineStr">
        <is>
          <t>4. Build a brief</t>
        </is>
      </c>
      <c r="B7" s="4" t="inlineStr">
        <is>
          <t>In “Article Brief”, select a content ID such as EN-EC-004. SEO title, keyword, metadata, outline, links, source and CTA are pulled from the calendar automatically.</t>
        </is>
      </c>
    </row>
    <row r="8">
      <c r="A8" s="31" t="inlineStr">
        <is>
          <t>5. Use verified technical sources</t>
        </is>
      </c>
      <c r="B8" s="4" t="inlineStr">
        <is>
          <t>For controller settings, protocols, compatibility, specifications, or product claims, official controller manuals and verified ElecIO product documentation override AI-generated assumptions.</t>
        </is>
      </c>
    </row>
    <row r="9">
      <c r="A9" s="31" t="inlineStr">
        <is>
          <t>6. Quality control</t>
        </is>
      </c>
      <c r="B9" s="4" t="inlineStr">
        <is>
          <t>Before publishing, all high-weight checks in “Quality Control” should pass, including intent match, source accuracy, metadata, internal links, mobile readability, and factual verification.</t>
        </is>
      </c>
    </row>
    <row r="10">
      <c r="A10" s="31" t="inlineStr">
        <is>
          <t>7. Internal linking</t>
        </is>
      </c>
      <c r="B10" s="4" t="inlineStr">
        <is>
          <t>Every article should link to its relevant pillar page and at least two genuinely related cluster articles using natural anchors.</t>
        </is>
      </c>
    </row>
    <row r="11">
      <c r="A11" s="31" t="inlineStr">
        <is>
          <t>8. Post-publish review</t>
        </is>
      </c>
      <c r="B11" s="4" t="inlineStr">
        <is>
          <t>Record the live URL, status, progress, and last update date. Review GSC performance after enough impressions accumulate and refine the page based on actual query data.</t>
        </is>
      </c>
    </row>
    <row r="12">
      <c r="A12" s="31" t="inlineStr">
        <is>
          <t>Important rule</t>
        </is>
      </c>
      <c r="B12" s="4" t="inlineStr">
        <is>
          <t>This workbook does not invent search volume, keyword difficulty, rankings, prices, standards, or technical claims. Blank metrics are intentional and must be filled with real data.</t>
        </is>
      </c>
    </row>
  </sheetData>
  <mergeCells count="2">
    <mergeCell ref="A2:B2"/>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23" customWidth="1" min="7" max="7"/>
  </cols>
  <sheetData>
    <row r="1">
      <c r="A1" s="4" t="inlineStr">
        <is>
          <t>Idea</t>
        </is>
      </c>
      <c r="B1" s="4" t="inlineStr">
        <is>
          <t>Very High</t>
        </is>
      </c>
      <c r="C1" s="4" t="inlineStr">
        <is>
          <t>Informational</t>
        </is>
      </c>
      <c r="D1" s="4" t="inlineStr">
        <is>
          <t>Awareness</t>
        </is>
      </c>
      <c r="E1" s="4" t="inlineStr">
        <is>
          <t>Yes</t>
        </is>
      </c>
      <c r="F1" s="4" t="inlineStr">
        <is>
          <t>Approved</t>
        </is>
      </c>
      <c r="G1" s="4" t="inlineStr">
        <is>
          <t>Comprehensive Guide</t>
        </is>
      </c>
    </row>
    <row r="2">
      <c r="A2" s="4" t="inlineStr">
        <is>
          <t>Brief Pending</t>
        </is>
      </c>
      <c r="B2" s="4" t="inlineStr">
        <is>
          <t>High</t>
        </is>
      </c>
      <c r="C2" s="4" t="inlineStr">
        <is>
          <t>Commercial</t>
        </is>
      </c>
      <c r="D2" s="4" t="inlineStr">
        <is>
          <t>Consideration</t>
        </is>
      </c>
      <c r="E2" s="4" t="inlineStr">
        <is>
          <t>No</t>
        </is>
      </c>
      <c r="F2" s="4" t="inlineStr">
        <is>
          <t>Needs Revision</t>
        </is>
      </c>
      <c r="G2" s="4" t="inlineStr">
        <is>
          <t>Technical Tutorial</t>
        </is>
      </c>
    </row>
    <row r="3">
      <c r="A3" s="4" t="inlineStr">
        <is>
          <t>Researching</t>
        </is>
      </c>
      <c r="B3" s="4" t="inlineStr">
        <is>
          <t>Medium</t>
        </is>
      </c>
      <c r="C3" s="4" t="inlineStr">
        <is>
          <t>Transactional</t>
        </is>
      </c>
      <c r="D3" s="4" t="inlineStr">
        <is>
          <t>Decision</t>
        </is>
      </c>
      <c r="E3" s="4" t="inlineStr">
        <is>
          <t>Unknown</t>
        </is>
      </c>
      <c r="F3" s="4" t="inlineStr">
        <is>
          <t>Not Reviewed</t>
        </is>
      </c>
      <c r="G3" s="4" t="inlineStr">
        <is>
          <t>Buyer’s Guide</t>
        </is>
      </c>
    </row>
    <row r="4">
      <c r="A4" s="4" t="inlineStr">
        <is>
          <t>Writing</t>
        </is>
      </c>
      <c r="B4" s="4" t="inlineStr">
        <is>
          <t>Low</t>
        </is>
      </c>
      <c r="C4" s="4" t="inlineStr">
        <is>
          <t>Support</t>
        </is>
      </c>
      <c r="D4" s="4" t="inlineStr">
        <is>
          <t>Post-Purchase</t>
        </is>
      </c>
      <c r="E4" s="4" t="n"/>
      <c r="F4" s="4" t="inlineStr">
        <is>
          <t>Not Applicable</t>
        </is>
      </c>
      <c r="G4" s="4" t="inlineStr">
        <is>
          <t>Comparison</t>
        </is>
      </c>
    </row>
    <row r="5">
      <c r="A5" s="4" t="inlineStr">
        <is>
          <t>Editing</t>
        </is>
      </c>
      <c r="B5" s="4" t="n"/>
      <c r="C5" s="4" t="inlineStr">
        <is>
          <t>Brand/Transactional</t>
        </is>
      </c>
      <c r="D5" s="4" t="n"/>
      <c r="E5" s="4" t="n"/>
      <c r="F5" s="4" t="n"/>
      <c r="G5" s="4" t="inlineStr">
        <is>
          <t>Troubleshooting</t>
        </is>
      </c>
    </row>
    <row r="6">
      <c r="A6" s="4" t="inlineStr">
        <is>
          <t>Ready to Publish</t>
        </is>
      </c>
      <c r="B6" s="4" t="n"/>
      <c r="C6" s="4" t="inlineStr">
        <is>
          <t>Informational/Commercial</t>
        </is>
      </c>
      <c r="D6" s="4" t="n"/>
      <c r="E6" s="4" t="n"/>
      <c r="F6" s="4" t="n"/>
      <c r="G6" s="4" t="inlineStr">
        <is>
          <t>Industrial Use Case</t>
        </is>
      </c>
    </row>
    <row r="7">
      <c r="A7" s="4" t="inlineStr">
        <is>
          <t>Scheduled</t>
        </is>
      </c>
      <c r="B7" s="4" t="n"/>
      <c r="C7" s="4" t="n"/>
      <c r="D7" s="4" t="n"/>
      <c r="E7" s="4" t="n"/>
      <c r="F7" s="4" t="n"/>
      <c r="G7" s="4" t="inlineStr">
        <is>
          <t>Checklist</t>
        </is>
      </c>
    </row>
    <row r="8">
      <c r="A8" s="4" t="inlineStr">
        <is>
          <t>Published</t>
        </is>
      </c>
      <c r="B8" s="4" t="n"/>
      <c r="C8" s="4" t="n"/>
      <c r="D8" s="4" t="n"/>
      <c r="E8" s="4" t="n"/>
      <c r="F8" s="4" t="n"/>
      <c r="G8" s="4" t="n"/>
    </row>
    <row r="9">
      <c r="A9" s="4" t="inlineStr">
        <is>
          <t>Needs Update</t>
        </is>
      </c>
      <c r="B9" s="4" t="n"/>
      <c r="C9" s="4" t="n"/>
      <c r="D9" s="4" t="n"/>
      <c r="E9" s="4" t="n"/>
      <c r="F9" s="4" t="n"/>
      <c r="G9" s="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0" customWidth="1" min="2" max="2"/>
    <col width="12" customWidth="1" min="3" max="3"/>
    <col width="18" customWidth="1" min="5" max="5"/>
    <col width="18" customWidth="1" min="6" max="6"/>
    <col width="18" customWidth="1" min="7" max="7"/>
    <col width="18" customWidth="1" min="8" max="8"/>
    <col width="18" customWidth="1" min="9" max="9"/>
  </cols>
  <sheetData>
    <row r="1">
      <c r="A1" s="15" t="inlineStr">
        <is>
          <t>ElecIO English SEO Content Dashboard</t>
        </is>
      </c>
      <c r="B1" s="1" t="n"/>
      <c r="C1" s="1" t="n"/>
      <c r="D1" s="1" t="n"/>
      <c r="E1" s="1" t="n"/>
      <c r="F1" s="1" t="n"/>
      <c r="G1" s="1" t="n"/>
      <c r="H1" s="1" t="n"/>
      <c r="I1" s="1" t="n"/>
    </row>
    <row r="2">
      <c r="A2" s="23" t="inlineStr">
        <is>
          <t>Overview of publication status, priority, and topical coverage. Search volume and ranking metrics must come from real SEO tools.</t>
        </is>
      </c>
      <c r="B2" s="1" t="n"/>
      <c r="C2" s="1" t="n"/>
      <c r="D2" s="1" t="n"/>
      <c r="E2" s="1" t="n"/>
      <c r="F2" s="1" t="n"/>
      <c r="G2" s="1" t="n"/>
      <c r="H2" s="1" t="n"/>
      <c r="I2" s="1" t="n"/>
    </row>
    <row r="4">
      <c r="B4" s="52" t="inlineStr">
        <is>
          <t>Total Topics</t>
        </is>
      </c>
      <c r="C4" s="59">
        <f>COUNTA('Content Calendar'!A4:A200)</f>
        <v/>
      </c>
      <c r="E4" s="52" t="inlineStr">
        <is>
          <t>Published</t>
        </is>
      </c>
      <c r="F4" s="59">
        <f>COUNTIF('Content Calendar'!Z4:Z200,"Published")</f>
        <v/>
      </c>
      <c r="H4" s="52" t="inlineStr">
        <is>
          <t>Ready / Scheduled</t>
        </is>
      </c>
      <c r="I4" s="59">
        <f>COUNTIF('Content Calendar'!Z4:Z200,"Ready to Publish")+COUNTIF('Content Calendar'!Z4:Z200,"Scheduled")</f>
        <v/>
      </c>
    </row>
    <row r="7">
      <c r="B7" s="52" t="inlineStr">
        <is>
          <t>High Priority</t>
        </is>
      </c>
      <c r="C7" s="59">
        <f>COUNTIF('Content Calendar'!AA4:AA200,"High")+COUNTIF('Content Calendar'!AA4:AA200,"Very High")</f>
        <v/>
      </c>
      <c r="E7" s="52" t="inlineStr">
        <is>
          <t>Average Progress</t>
        </is>
      </c>
      <c r="F7" s="68">
        <f>IFERROR(AVERAGE('Content Calendar'!AB4:AB200),0)</f>
        <v/>
      </c>
      <c r="H7" s="52" t="inlineStr">
        <is>
          <t>Keywords Tracked</t>
        </is>
      </c>
      <c r="I7" s="59">
        <f>COUNTA('Keyword Map'!B4:B200)</f>
        <v/>
      </c>
    </row>
    <row r="11">
      <c r="B11" s="40" t="inlineStr">
        <is>
          <t>Status</t>
        </is>
      </c>
      <c r="C11" s="40" t="inlineStr">
        <is>
          <t>Count</t>
        </is>
      </c>
    </row>
    <row r="12">
      <c r="B12" s="4" t="inlineStr">
        <is>
          <t>Idea</t>
        </is>
      </c>
      <c r="C12" s="4">
        <f>COUNTIF('Content Calendar'!$Z$4:$Z$200,B12)</f>
        <v/>
      </c>
    </row>
    <row r="13">
      <c r="B13" s="4" t="inlineStr">
        <is>
          <t>Brief Pending</t>
        </is>
      </c>
      <c r="C13" s="4">
        <f>COUNTIF('Content Calendar'!$Z$4:$Z$200,B13)</f>
        <v/>
      </c>
    </row>
    <row r="14">
      <c r="B14" s="4" t="inlineStr">
        <is>
          <t>Researching</t>
        </is>
      </c>
      <c r="C14" s="4">
        <f>COUNTIF('Content Calendar'!$Z$4:$Z$200,B14)</f>
        <v/>
      </c>
    </row>
    <row r="15">
      <c r="B15" s="4" t="inlineStr">
        <is>
          <t>Writing</t>
        </is>
      </c>
      <c r="C15" s="4">
        <f>COUNTIF('Content Calendar'!$Z$4:$Z$200,B15)</f>
        <v/>
      </c>
    </row>
    <row r="16">
      <c r="B16" s="4" t="inlineStr">
        <is>
          <t>Editing</t>
        </is>
      </c>
      <c r="C16" s="4">
        <f>COUNTIF('Content Calendar'!$Z$4:$Z$200,B16)</f>
        <v/>
      </c>
    </row>
    <row r="17">
      <c r="B17" s="4" t="inlineStr">
        <is>
          <t>Ready to Publish</t>
        </is>
      </c>
      <c r="C17" s="4">
        <f>COUNTIF('Content Calendar'!$Z$4:$Z$200,B17)</f>
        <v/>
      </c>
    </row>
    <row r="18">
      <c r="B18" s="4" t="inlineStr">
        <is>
          <t>Scheduled</t>
        </is>
      </c>
      <c r="C18" s="4">
        <f>COUNTIF('Content Calendar'!$Z$4:$Z$200,B18)</f>
        <v/>
      </c>
    </row>
    <row r="19">
      <c r="B19" s="4" t="inlineStr">
        <is>
          <t>Published</t>
        </is>
      </c>
      <c r="C19" s="4">
        <f>COUNTIF('Content Calendar'!$Z$4:$Z$200,B19)</f>
        <v/>
      </c>
    </row>
    <row r="20">
      <c r="B20" s="4" t="inlineStr">
        <is>
          <t>Needs Update</t>
        </is>
      </c>
      <c r="C20" s="4">
        <f>COUNTIF('Content Calendar'!$Z$4:$Z$200,B20)</f>
        <v/>
      </c>
    </row>
    <row r="23">
      <c r="B23" s="40" t="inlineStr">
        <is>
          <t>Cluster</t>
        </is>
      </c>
      <c r="C23" s="40" t="inlineStr">
        <is>
          <t>Count</t>
        </is>
      </c>
    </row>
    <row r="24">
      <c r="B24" s="4" t="inlineStr">
        <is>
          <t>Brand &amp; Trust</t>
        </is>
      </c>
      <c r="C24" s="4">
        <f>COUNTIF('Content Calendar'!$D$4:$D$200,B24)</f>
        <v/>
      </c>
    </row>
    <row r="25">
      <c r="B25" s="4" t="inlineStr">
        <is>
          <t>CNC Basics</t>
        </is>
      </c>
      <c r="C25" s="4">
        <f>COUNTIF('Content Calendar'!$D$4:$D$200,B25)</f>
        <v/>
      </c>
    </row>
    <row r="26">
      <c r="B26" s="4" t="inlineStr">
        <is>
          <t>CNC File Transfer &amp; DNC</t>
        </is>
      </c>
      <c r="C26" s="4">
        <f>COUNTIF('Content Calendar'!$D$4:$D$200,B26)</f>
        <v/>
      </c>
    </row>
    <row r="27">
      <c r="B27" s="4" t="inlineStr">
        <is>
          <t>Comparison &amp; Selection</t>
        </is>
      </c>
      <c r="C27" s="4">
        <f>COUNTIF('Content Calendar'!$D$4:$D$200,B27)</f>
        <v/>
      </c>
    </row>
    <row r="28">
      <c r="B28" s="4" t="inlineStr">
        <is>
          <t>Controller Compatibility</t>
        </is>
      </c>
      <c r="C28" s="4">
        <f>COUNTIF('Content Calendar'!$D$4:$D$200,B28)</f>
        <v/>
      </c>
    </row>
    <row r="29">
      <c r="B29" s="4" t="inlineStr">
        <is>
          <t>Digital Transformation</t>
        </is>
      </c>
      <c r="C29" s="4">
        <f>COUNTIF('Content Calendar'!$D$4:$D$200,B29)</f>
        <v/>
      </c>
    </row>
    <row r="30">
      <c r="B30" s="4" t="inlineStr">
        <is>
          <t>FANUC Controller</t>
        </is>
      </c>
      <c r="C30" s="4">
        <f>COUNTIF('Content Calendar'!$D$4:$D$200,B30)</f>
        <v/>
      </c>
    </row>
    <row r="31">
      <c r="B31" s="4" t="inlineStr">
        <is>
          <t>HEIDENHAIN Controller</t>
        </is>
      </c>
      <c r="C31" s="4">
        <f>COUNTIF('Content Calendar'!$D$4:$D$200,B31)</f>
        <v/>
      </c>
    </row>
    <row r="32">
      <c r="B32" s="4" t="inlineStr">
        <is>
          <t>Industrial Networking</t>
        </is>
      </c>
      <c r="C32" s="4">
        <f>COUNTIF('Content Calendar'!$D$4:$D$200,B32)</f>
        <v/>
      </c>
    </row>
    <row r="33">
      <c r="B33" s="4" t="inlineStr">
        <is>
          <t>Production Economics</t>
        </is>
      </c>
      <c r="C33" s="4">
        <f>COUNTIF('Content Calendar'!$D$4:$D$200,B33)</f>
        <v/>
      </c>
    </row>
    <row r="34">
      <c r="B34" s="4" t="inlineStr">
        <is>
          <t>Program Management</t>
        </is>
      </c>
      <c r="C34" s="4">
        <f>COUNTIF('Content Calendar'!$D$4:$D$200,B34)</f>
        <v/>
      </c>
    </row>
    <row r="35">
      <c r="B35" s="4" t="inlineStr">
        <is>
          <t>Reporting &amp; Productivity</t>
        </is>
      </c>
      <c r="C35" s="4">
        <f>COUNTIF('Content Calendar'!$D$4:$D$200,B35)</f>
        <v/>
      </c>
    </row>
    <row r="36">
      <c r="B36" s="4" t="inlineStr">
        <is>
          <t>Security &amp; Backup</t>
        </is>
      </c>
      <c r="C36" s="4">
        <f>COUNTIF('Content Calendar'!$D$4:$D$200,B36)</f>
        <v/>
      </c>
    </row>
    <row r="37">
      <c r="B37" s="4" t="inlineStr">
        <is>
          <t>Serial Communication</t>
        </is>
      </c>
      <c r="C37" s="4">
        <f>COUNTIF('Content Calendar'!$D$4:$D$200,B37)</f>
        <v/>
      </c>
    </row>
    <row r="38">
      <c r="B38" s="4" t="inlineStr">
        <is>
          <t>Siemens Controller</t>
        </is>
      </c>
      <c r="C38" s="4">
        <f>COUNTIF('Content Calendar'!$D$4:$D$200,B38)</f>
        <v/>
      </c>
    </row>
    <row r="39">
      <c r="B39" s="4" t="inlineStr">
        <is>
          <t>Software &amp; Monitoring</t>
        </is>
      </c>
      <c r="C39" s="4">
        <f>COUNTIF('Content Calendar'!$D$4:$D$200,B39)</f>
        <v/>
      </c>
    </row>
    <row r="40">
      <c r="B40" s="4" t="inlineStr">
        <is>
          <t>Troubleshooting</t>
        </is>
      </c>
      <c r="C40" s="4">
        <f>COUNTIF('Content Calendar'!$D$4:$D$200,B40)</f>
        <v/>
      </c>
    </row>
  </sheetData>
  <mergeCells count="2">
    <mergeCell ref="A1:I1"/>
    <mergeCell ref="A2:I2"/>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U63"/>
  <sheetViews>
    <sheetView workbookViewId="0">
      <selection activeCell="A1" sqref="A1"/>
    </sheetView>
  </sheetViews>
  <sheetFormatPr baseColWidth="8" defaultRowHeight="15"/>
  <cols>
    <col width="14" customWidth="1" min="1" max="1"/>
    <col width="27" customWidth="1" min="2" max="2"/>
    <col width="24" customWidth="1" min="3" max="3"/>
    <col width="42" customWidth="1" min="4" max="4"/>
    <col width="21" customWidth="1" min="5" max="5"/>
    <col width="18" customWidth="1" min="6" max="6"/>
    <col width="24" customWidth="1" min="7" max="7"/>
    <col width="20" customWidth="1" min="8" max="8"/>
    <col width="12" customWidth="1" min="9" max="9"/>
    <col width="42" customWidth="1" min="10" max="10"/>
    <col width="18" customWidth="1" min="11" max="11"/>
    <col width="16" customWidth="1" min="12" max="12"/>
    <col width="13" customWidth="1" min="13" max="13"/>
    <col width="12" customWidth="1" min="14" max="14"/>
    <col width="12" customWidth="1" min="15" max="15"/>
    <col width="16" customWidth="1" min="16" max="16"/>
    <col width="10" customWidth="1" min="17" max="17"/>
    <col width="20" customWidth="1" min="18" max="18"/>
    <col width="14" customWidth="1" min="19" max="19"/>
    <col width="15" customWidth="1" min="20" max="20"/>
    <col width="42" customWidth="1" min="21" max="21"/>
  </cols>
  <sheetData>
    <row r="1">
      <c r="A1" s="32" t="inlineStr">
        <is>
          <t>ElecIO English Keyword Map</t>
        </is>
      </c>
      <c r="B1" s="1" t="n"/>
      <c r="C1" s="1" t="n"/>
      <c r="D1" s="1" t="n"/>
      <c r="E1" s="1" t="n"/>
      <c r="F1" s="1" t="n"/>
      <c r="G1" s="1" t="n"/>
      <c r="H1" s="1" t="n"/>
      <c r="I1" s="1" t="n"/>
      <c r="J1" s="1" t="n"/>
      <c r="K1" s="1" t="n"/>
      <c r="L1" s="1" t="n"/>
      <c r="M1" s="1" t="n"/>
      <c r="N1" s="1" t="n"/>
      <c r="O1" s="1" t="n"/>
      <c r="P1" s="1" t="n"/>
      <c r="Q1" s="1" t="n"/>
      <c r="R1" s="1" t="n"/>
      <c r="S1" s="1" t="n"/>
      <c r="T1" s="1" t="n"/>
      <c r="U1" s="1" t="n"/>
    </row>
    <row r="2">
      <c r="A2" s="33" t="inlineStr">
        <is>
          <t>English-native seed keywords are pre-mapped by intent, cluster, funnel, and target page. Search volume, KD, rankings and GSC metrics are intentionally blank until validated with real market data.</t>
        </is>
      </c>
      <c r="B2" s="1" t="n"/>
      <c r="C2" s="1" t="n"/>
      <c r="D2" s="1" t="n"/>
      <c r="E2" s="1" t="n"/>
      <c r="F2" s="1" t="n"/>
      <c r="G2" s="1" t="n"/>
      <c r="H2" s="1" t="n"/>
      <c r="I2" s="1" t="n"/>
      <c r="J2" s="1" t="n"/>
      <c r="K2" s="1" t="n"/>
      <c r="L2" s="1" t="n"/>
      <c r="M2" s="1" t="n"/>
      <c r="N2" s="1" t="n"/>
      <c r="O2" s="1" t="n"/>
      <c r="P2" s="1" t="n"/>
      <c r="Q2" s="1" t="n"/>
      <c r="R2" s="1" t="n"/>
      <c r="S2" s="1" t="n"/>
      <c r="T2" s="1" t="n"/>
      <c r="U2" s="1" t="n"/>
    </row>
    <row r="3" ht="36" customHeight="1">
      <c r="A3" s="40" t="inlineStr">
        <is>
          <t>ID</t>
        </is>
      </c>
      <c r="B3" s="40" t="inlineStr">
        <is>
          <t>Primary Keyword</t>
        </is>
      </c>
      <c r="C3" s="40" t="inlineStr">
        <is>
          <t>Topic Cluster</t>
        </is>
      </c>
      <c r="D3" s="40" t="inlineStr">
        <is>
          <t>Related / Secondary Keywords</t>
        </is>
      </c>
      <c r="E3" s="40" t="inlineStr">
        <is>
          <t>Search Intent</t>
        </is>
      </c>
      <c r="F3" s="40" t="inlineStr">
        <is>
          <t>Funnel Stage</t>
        </is>
      </c>
      <c r="G3" s="40" t="inlineStr">
        <is>
          <t>Suggested Content Type</t>
        </is>
      </c>
      <c r="H3" s="40" t="inlineStr">
        <is>
          <t>Target / Pillar Page</t>
        </is>
      </c>
      <c r="I3" s="40" t="inlineStr">
        <is>
          <t>Priority</t>
        </is>
      </c>
      <c r="J3" s="40" t="inlineStr">
        <is>
          <t>Research / Data Source</t>
        </is>
      </c>
      <c r="K3" s="40" t="inlineStr">
        <is>
          <t>Monthly Search Volume</t>
        </is>
      </c>
      <c r="L3" s="40" t="inlineStr">
        <is>
          <t>Keyword Difficulty</t>
        </is>
      </c>
      <c r="M3" s="40" t="inlineStr">
        <is>
          <t>Current Rank</t>
        </is>
      </c>
      <c r="N3" s="40" t="inlineStr">
        <is>
          <t>Target Rank</t>
        </is>
      </c>
      <c r="O3" s="40" t="inlineStr">
        <is>
          <t>GSC Clicks</t>
        </is>
      </c>
      <c r="P3" s="40" t="inlineStr">
        <is>
          <t>GSC Impressions</t>
        </is>
      </c>
      <c r="Q3" s="40" t="inlineStr">
        <is>
          <t>CTR</t>
        </is>
      </c>
      <c r="R3" s="40" t="inlineStr">
        <is>
          <t>Cannibalization Risk</t>
        </is>
      </c>
      <c r="S3" s="40" t="inlineStr">
        <is>
          <t>Content ID</t>
        </is>
      </c>
      <c r="T3" s="40" t="inlineStr">
        <is>
          <t>Last Review</t>
        </is>
      </c>
      <c r="U3" s="40" t="inlineStr">
        <is>
          <t>Notes</t>
        </is>
      </c>
    </row>
    <row r="4">
      <c r="A4" s="4" t="inlineStr">
        <is>
          <t>EN-KW-001</t>
        </is>
      </c>
      <c r="B4" s="4" t="inlineStr">
        <is>
          <t>CNC file transfer</t>
        </is>
      </c>
      <c r="C4" s="4" t="inlineStr">
        <is>
          <t>CNC File Transfer &amp; DNC</t>
        </is>
      </c>
      <c r="D4" s="4" t="inlineStr">
        <is>
          <t>CNC program transfer, NC file transfer, transfer files to CNC, CNC networking</t>
        </is>
      </c>
      <c r="E4" s="4" t="inlineStr">
        <is>
          <t>Informational</t>
        </is>
      </c>
      <c r="F4" s="4" t="inlineStr">
        <is>
          <t>Awareness</t>
        </is>
      </c>
      <c r="G4" s="4" t="inlineStr">
        <is>
          <t>Technical Tutorial</t>
        </is>
      </c>
      <c r="H4" s="4" t="inlineStr">
        <is>
          <t>/en/product</t>
        </is>
      </c>
      <c r="I4" s="4" t="inlineStr">
        <is>
          <t>High</t>
        </is>
      </c>
      <c r="J4" s="4" t="inlineStr">
        <is>
          <t>https://www.cimco.com/software/cimco-dnc-max/</t>
        </is>
      </c>
      <c r="K4" s="4" t="n"/>
      <c r="L4" s="4" t="n"/>
      <c r="M4" s="4" t="n"/>
      <c r="N4" s="4" t="n">
        <v>10</v>
      </c>
      <c r="O4" s="4" t="n"/>
      <c r="P4" s="4" t="n"/>
      <c r="Q4" s="4" t="n"/>
      <c r="R4" s="4" t="inlineStr">
        <is>
          <t>Unknown</t>
        </is>
      </c>
      <c r="S4" s="4" t="inlineStr">
        <is>
          <t>EN-EC-001</t>
        </is>
      </c>
      <c r="T4" s="4" t="n"/>
      <c r="U4" s="4" t="inlineStr">
        <is>
          <t>Seed term. Validate country-specific search volume, KD and SERP intent in GSC / Keyword Planner before final prioritization.</t>
        </is>
      </c>
    </row>
    <row r="5">
      <c r="A5" s="4" t="inlineStr">
        <is>
          <t>EN-KW-002</t>
        </is>
      </c>
      <c r="B5" s="4" t="inlineStr">
        <is>
          <t>CNC program transfer</t>
        </is>
      </c>
      <c r="C5" s="4" t="inlineStr">
        <is>
          <t>CNC File Transfer &amp; DNC</t>
        </is>
      </c>
      <c r="D5" s="4" t="inlineStr">
        <is>
          <t>transfer CNC programs, send program to CNC machine, NC program transfer, G-code transfer</t>
        </is>
      </c>
      <c r="E5" s="4" t="inlineStr">
        <is>
          <t>Informational</t>
        </is>
      </c>
      <c r="F5" s="4" t="inlineStr">
        <is>
          <t>Awareness</t>
        </is>
      </c>
      <c r="G5" s="4" t="inlineStr">
        <is>
          <t>Comprehensive Guide</t>
        </is>
      </c>
      <c r="H5" s="4" t="inlineStr">
        <is>
          <t>/en/product</t>
        </is>
      </c>
      <c r="I5" s="4" t="inlineStr">
        <is>
          <t>High</t>
        </is>
      </c>
      <c r="J5" s="4" t="inlineStr">
        <is>
          <t>https://www.cimco.com/software/cimco-dnc-max/</t>
        </is>
      </c>
      <c r="K5" s="4" t="n"/>
      <c r="L5" s="4" t="n"/>
      <c r="M5" s="4" t="n"/>
      <c r="N5" s="4" t="n">
        <v>10</v>
      </c>
      <c r="O5" s="4" t="n"/>
      <c r="P5" s="4" t="n"/>
      <c r="Q5" s="4" t="n"/>
      <c r="R5" s="4" t="inlineStr">
        <is>
          <t>Unknown</t>
        </is>
      </c>
      <c r="S5" s="4" t="inlineStr">
        <is>
          <t>EN-EC-002</t>
        </is>
      </c>
      <c r="T5" s="4" t="n"/>
      <c r="U5" s="4" t="inlineStr">
        <is>
          <t>Seed term. Validate country-specific search volume, KD and SERP intent in GSC / Keyword Planner before final prioritization.</t>
        </is>
      </c>
    </row>
    <row r="6">
      <c r="A6" s="4" t="inlineStr">
        <is>
          <t>EN-KW-003</t>
        </is>
      </c>
      <c r="B6" s="4" t="inlineStr">
        <is>
          <t>CNC program transfer software</t>
        </is>
      </c>
      <c r="C6" s="4" t="inlineStr">
        <is>
          <t>CNC File Transfer &amp; DNC</t>
        </is>
      </c>
      <c r="D6" s="4" t="inlineStr">
        <is>
          <t>CNC file transfer software, DNC transfer software, NC program transfer software</t>
        </is>
      </c>
      <c r="E6" s="4" t="inlineStr">
        <is>
          <t>Commercial</t>
        </is>
      </c>
      <c r="F6" s="4" t="inlineStr">
        <is>
          <t>Consideration</t>
        </is>
      </c>
      <c r="G6" s="4" t="inlineStr">
        <is>
          <t>Buyer’s Guide</t>
        </is>
      </c>
      <c r="H6" s="4" t="inlineStr">
        <is>
          <t>/en/software</t>
        </is>
      </c>
      <c r="I6" s="4" t="inlineStr">
        <is>
          <t>High</t>
        </is>
      </c>
      <c r="J6" s="4" t="inlineStr">
        <is>
          <t>https://www.cimco.com/software/cimco-dnc-max/</t>
        </is>
      </c>
      <c r="K6" s="4" t="n"/>
      <c r="L6" s="4" t="n"/>
      <c r="M6" s="4" t="n"/>
      <c r="N6" s="4" t="n">
        <v>10</v>
      </c>
      <c r="O6" s="4" t="n"/>
      <c r="P6" s="4" t="n"/>
      <c r="Q6" s="4" t="n"/>
      <c r="R6" s="4" t="inlineStr">
        <is>
          <t>Unknown</t>
        </is>
      </c>
      <c r="S6" s="4" t="inlineStr">
        <is>
          <t>EN-EC-003</t>
        </is>
      </c>
      <c r="T6" s="4" t="n"/>
      <c r="U6" s="4" t="inlineStr">
        <is>
          <t>Seed term. Validate country-specific search volume, KD and SERP intent in GSC / Keyword Planner before final prioritization.</t>
        </is>
      </c>
    </row>
    <row r="7">
      <c r="A7" s="4" t="inlineStr">
        <is>
          <t>EN-KW-004</t>
        </is>
      </c>
      <c r="B7" s="4" t="inlineStr">
        <is>
          <t>DNC software for CNC machines</t>
        </is>
      </c>
      <c r="C7" s="4" t="inlineStr">
        <is>
          <t>CNC File Transfer &amp; DNC</t>
        </is>
      </c>
      <c r="D7" s="4" t="inlineStr">
        <is>
          <t>DNC software, CNC DNC software, DNC server, CNC program management software</t>
        </is>
      </c>
      <c r="E7" s="4" t="inlineStr">
        <is>
          <t>Commercial</t>
        </is>
      </c>
      <c r="F7" s="4" t="inlineStr">
        <is>
          <t>Consideration</t>
        </is>
      </c>
      <c r="G7" s="4" t="inlineStr">
        <is>
          <t>Buyer’s Guide</t>
        </is>
      </c>
      <c r="H7" s="4" t="inlineStr">
        <is>
          <t>/en/software</t>
        </is>
      </c>
      <c r="I7" s="4" t="inlineStr">
        <is>
          <t>Very High</t>
        </is>
      </c>
      <c r="J7" s="4" t="inlineStr">
        <is>
          <t>https://www.cimco.com/software/cimco-dnc-max/</t>
        </is>
      </c>
      <c r="K7" s="4" t="n"/>
      <c r="L7" s="4" t="n"/>
      <c r="M7" s="4" t="n"/>
      <c r="N7" s="4" t="n">
        <v>10</v>
      </c>
      <c r="O7" s="4" t="n"/>
      <c r="P7" s="4" t="n"/>
      <c r="Q7" s="4" t="n"/>
      <c r="R7" s="4" t="inlineStr">
        <is>
          <t>Unknown</t>
        </is>
      </c>
      <c r="S7" s="4" t="inlineStr">
        <is>
          <t>EN-EC-004</t>
        </is>
      </c>
      <c r="T7" s="4" t="n"/>
      <c r="U7" s="4" t="inlineStr">
        <is>
          <t>Seed term. Validate country-specific search volume, KD and SERP intent in GSC / Keyword Planner before final prioritization.</t>
        </is>
      </c>
    </row>
    <row r="8">
      <c r="A8" s="4" t="inlineStr">
        <is>
          <t>EN-KW-005</t>
        </is>
      </c>
      <c r="B8" s="4" t="inlineStr">
        <is>
          <t>what is DNC</t>
        </is>
      </c>
      <c r="C8" s="4" t="inlineStr">
        <is>
          <t>CNC File Transfer &amp; DNC</t>
        </is>
      </c>
      <c r="D8" s="4" t="inlineStr">
        <is>
          <t>DNC system, Direct Numerical Control, CNC DNC, DNC networking</t>
        </is>
      </c>
      <c r="E8" s="4" t="inlineStr">
        <is>
          <t>Informational</t>
        </is>
      </c>
      <c r="F8" s="4" t="inlineStr">
        <is>
          <t>Awareness</t>
        </is>
      </c>
      <c r="G8" s="4" t="inlineStr">
        <is>
          <t>Comprehensive Guide</t>
        </is>
      </c>
      <c r="H8" s="4" t="inlineStr">
        <is>
          <t>/en/product</t>
        </is>
      </c>
      <c r="I8" s="4" t="inlineStr">
        <is>
          <t>High</t>
        </is>
      </c>
      <c r="J8" s="4" t="inlineStr">
        <is>
          <t>https://www.cimco.com/software/cimco-dnc-max/</t>
        </is>
      </c>
      <c r="K8" s="4" t="n"/>
      <c r="L8" s="4" t="n"/>
      <c r="M8" s="4" t="n"/>
      <c r="N8" s="4" t="n">
        <v>10</v>
      </c>
      <c r="O8" s="4" t="n"/>
      <c r="P8" s="4" t="n"/>
      <c r="Q8" s="4" t="n"/>
      <c r="R8" s="4" t="inlineStr">
        <is>
          <t>Unknown</t>
        </is>
      </c>
      <c r="S8" s="4" t="inlineStr">
        <is>
          <t>EN-EC-005</t>
        </is>
      </c>
      <c r="T8" s="4" t="n"/>
      <c r="U8" s="4" t="inlineStr">
        <is>
          <t>Seed term. Validate country-specific search volume, KD and SERP intent in GSC / Keyword Planner before final prioritization.</t>
        </is>
      </c>
    </row>
    <row r="9">
      <c r="A9" s="4" t="inlineStr">
        <is>
          <t>EN-KW-006</t>
        </is>
      </c>
      <c r="B9" s="4" t="inlineStr">
        <is>
          <t>DNC system for CNC machines</t>
        </is>
      </c>
      <c r="C9" s="4" t="inlineStr">
        <is>
          <t>CNC File Transfer &amp; DNC</t>
        </is>
      </c>
      <c r="D9" s="4" t="inlineStr">
        <is>
          <t>industrial DNC system, DNC network, CNC DNC system, multi-machine DNC</t>
        </is>
      </c>
      <c r="E9" s="4" t="inlineStr">
        <is>
          <t>Commercial</t>
        </is>
      </c>
      <c r="F9" s="4" t="inlineStr">
        <is>
          <t>Consideration</t>
        </is>
      </c>
      <c r="G9" s="4" t="inlineStr">
        <is>
          <t>Buyer’s Guide</t>
        </is>
      </c>
      <c r="H9" s="4" t="inlineStr">
        <is>
          <t>/en/product</t>
        </is>
      </c>
      <c r="I9" s="4" t="inlineStr">
        <is>
          <t>High</t>
        </is>
      </c>
      <c r="J9" s="4" t="inlineStr">
        <is>
          <t>https://www.cimco.com/software/cimco-dnc-max/</t>
        </is>
      </c>
      <c r="K9" s="4" t="n"/>
      <c r="L9" s="4" t="n"/>
      <c r="M9" s="4" t="n"/>
      <c r="N9" s="4" t="n">
        <v>10</v>
      </c>
      <c r="O9" s="4" t="n"/>
      <c r="P9" s="4" t="n"/>
      <c r="Q9" s="4" t="n"/>
      <c r="R9" s="4" t="inlineStr">
        <is>
          <t>Unknown</t>
        </is>
      </c>
      <c r="S9" s="4" t="inlineStr">
        <is>
          <t>EN-EC-006</t>
        </is>
      </c>
      <c r="T9" s="4" t="n"/>
      <c r="U9" s="4" t="inlineStr">
        <is>
          <t>Seed term. Validate country-specific search volume, KD and SERP intent in GSC / Keyword Planner before final prioritization.</t>
        </is>
      </c>
    </row>
    <row r="10">
      <c r="A10" s="4" t="inlineStr">
        <is>
          <t>EN-KW-007</t>
        </is>
      </c>
      <c r="B10" s="4" t="inlineStr">
        <is>
          <t>CNC program transfer device</t>
        </is>
      </c>
      <c r="C10" s="4" t="inlineStr">
        <is>
          <t>CNC File Transfer &amp; DNC</t>
        </is>
      </c>
      <c r="D10" s="4" t="inlineStr">
        <is>
          <t>DNC hardware, CNC transfer device, RS232 DNC device, CNC file transfer device</t>
        </is>
      </c>
      <c r="E10" s="4" t="inlineStr">
        <is>
          <t>Commercial</t>
        </is>
      </c>
      <c r="F10" s="4" t="inlineStr">
        <is>
          <t>Consideration</t>
        </is>
      </c>
      <c r="G10" s="4" t="inlineStr">
        <is>
          <t>Buyer’s Guide</t>
        </is>
      </c>
      <c r="H10" s="4" t="inlineStr">
        <is>
          <t>/en/product</t>
        </is>
      </c>
      <c r="I10" s="4" t="inlineStr">
        <is>
          <t>High</t>
        </is>
      </c>
      <c r="J10" s="4" t="inlineStr">
        <is>
          <t>https://www.cimco.com/software/cimco-dnc-max/</t>
        </is>
      </c>
      <c r="K10" s="4" t="n"/>
      <c r="L10" s="4" t="n"/>
      <c r="M10" s="4" t="n"/>
      <c r="N10" s="4" t="n">
        <v>10</v>
      </c>
      <c r="O10" s="4" t="n"/>
      <c r="P10" s="4" t="n"/>
      <c r="Q10" s="4" t="n"/>
      <c r="R10" s="4" t="inlineStr">
        <is>
          <t>Unknown</t>
        </is>
      </c>
      <c r="S10" s="4" t="inlineStr">
        <is>
          <t>EN-EC-007</t>
        </is>
      </c>
      <c r="T10" s="4" t="n"/>
      <c r="U10" s="4" t="inlineStr">
        <is>
          <t>Seed term. Validate country-specific search volume, KD and SERP intent in GSC / Keyword Planner before final prioritization.</t>
        </is>
      </c>
    </row>
    <row r="11">
      <c r="A11" s="4" t="inlineStr">
        <is>
          <t>EN-KW-008</t>
        </is>
      </c>
      <c r="B11" s="4" t="inlineStr">
        <is>
          <t>DNC for small machine shops</t>
        </is>
      </c>
      <c r="C11" s="4" t="inlineStr">
        <is>
          <t>CNC File Transfer &amp; DNC</t>
        </is>
      </c>
      <c r="D11" s="4" t="inlineStr">
        <is>
          <t>DNC for small shop, low-cost DNC, single-machine DNC, CNC shop networking</t>
        </is>
      </c>
      <c r="E11" s="4" t="inlineStr">
        <is>
          <t>Commercial</t>
        </is>
      </c>
      <c r="F11" s="4" t="inlineStr">
        <is>
          <t>Consideration</t>
        </is>
      </c>
      <c r="G11" s="4" t="inlineStr">
        <is>
          <t>Industrial Use Case</t>
        </is>
      </c>
      <c r="H11" s="4" t="inlineStr">
        <is>
          <t>/en/product</t>
        </is>
      </c>
      <c r="I11" s="4" t="inlineStr">
        <is>
          <t>High</t>
        </is>
      </c>
      <c r="J11" s="4" t="inlineStr">
        <is>
          <t>https://www.cimco.com/software/cimco-dnc-max/</t>
        </is>
      </c>
      <c r="K11" s="4" t="n"/>
      <c r="L11" s="4" t="n"/>
      <c r="M11" s="4" t="n"/>
      <c r="N11" s="4" t="n">
        <v>10</v>
      </c>
      <c r="O11" s="4" t="n"/>
      <c r="P11" s="4" t="n"/>
      <c r="Q11" s="4" t="n"/>
      <c r="R11" s="4" t="inlineStr">
        <is>
          <t>Unknown</t>
        </is>
      </c>
      <c r="S11" s="4" t="inlineStr">
        <is>
          <t>EN-EC-008</t>
        </is>
      </c>
      <c r="T11" s="4" t="n"/>
      <c r="U11" s="4" t="inlineStr">
        <is>
          <t>Seed term. Validate country-specific search volume, KD and SERP intent in GSC / Keyword Planner before final prioritization.</t>
        </is>
      </c>
    </row>
    <row r="12">
      <c r="A12" s="4" t="inlineStr">
        <is>
          <t>EN-KW-009</t>
        </is>
      </c>
      <c r="B12" s="4" t="inlineStr">
        <is>
          <t>wireless DNC</t>
        </is>
      </c>
      <c r="C12" s="4" t="inlineStr">
        <is>
          <t>Industrial Networking</t>
        </is>
      </c>
      <c r="D12" s="4" t="inlineStr">
        <is>
          <t>wireless DNC system, Wi-Fi DNC, wireless CNC networking, RS232 wireless DNC</t>
        </is>
      </c>
      <c r="E12" s="4" t="inlineStr">
        <is>
          <t>Commercial</t>
        </is>
      </c>
      <c r="F12" s="4" t="inlineStr">
        <is>
          <t>Consideration</t>
        </is>
      </c>
      <c r="G12" s="4" t="inlineStr">
        <is>
          <t>Comprehensive Guide</t>
        </is>
      </c>
      <c r="H12" s="4" t="inlineStr">
        <is>
          <t>/en/product</t>
        </is>
      </c>
      <c r="I12" s="4" t="inlineStr">
        <is>
          <t>High</t>
        </is>
      </c>
      <c r="J12" s="4" t="inlineStr">
        <is>
          <t>https://www.cimco.com/software/cimco-dnc-max/</t>
        </is>
      </c>
      <c r="K12" s="4" t="n"/>
      <c r="L12" s="4" t="n"/>
      <c r="M12" s="4" t="n"/>
      <c r="N12" s="4" t="n">
        <v>10</v>
      </c>
      <c r="O12" s="4" t="n"/>
      <c r="P12" s="4" t="n"/>
      <c r="Q12" s="4" t="n"/>
      <c r="R12" s="4" t="inlineStr">
        <is>
          <t>Unknown</t>
        </is>
      </c>
      <c r="S12" s="4" t="inlineStr">
        <is>
          <t>EN-EC-009</t>
        </is>
      </c>
      <c r="T12" s="4" t="n"/>
      <c r="U12" s="4" t="inlineStr">
        <is>
          <t>Seed term. Validate country-specific search volume, KD and SERP intent in GSC / Keyword Planner before final prioritization.</t>
        </is>
      </c>
    </row>
    <row r="13">
      <c r="A13" s="4" t="inlineStr">
        <is>
          <t>EN-KW-010</t>
        </is>
      </c>
      <c r="B13" s="4" t="inlineStr">
        <is>
          <t>wireless CNC file transfer</t>
        </is>
      </c>
      <c r="C13" s="4" t="inlineStr">
        <is>
          <t>Industrial Networking</t>
        </is>
      </c>
      <c r="D13" s="4" t="inlineStr">
        <is>
          <t>Wi-Fi CNC file transfer, wireless program transfer, send CNC files wirelessly</t>
        </is>
      </c>
      <c r="E13" s="4" t="inlineStr">
        <is>
          <t>Informational</t>
        </is>
      </c>
      <c r="F13" s="4" t="inlineStr">
        <is>
          <t>Awareness</t>
        </is>
      </c>
      <c r="G13" s="4" t="inlineStr">
        <is>
          <t>Technical Tutorial</t>
        </is>
      </c>
      <c r="H13" s="4" t="inlineStr">
        <is>
          <t>/en/product</t>
        </is>
      </c>
      <c r="I13" s="4" t="inlineStr">
        <is>
          <t>High</t>
        </is>
      </c>
      <c r="J13" s="4" t="inlineStr">
        <is>
          <t>https://www.cimco.com/software/cimco-dnc-max/</t>
        </is>
      </c>
      <c r="K13" s="4" t="n"/>
      <c r="L13" s="4" t="n"/>
      <c r="M13" s="4" t="n"/>
      <c r="N13" s="4" t="n">
        <v>10</v>
      </c>
      <c r="O13" s="4" t="n"/>
      <c r="P13" s="4" t="n"/>
      <c r="Q13" s="4" t="n"/>
      <c r="R13" s="4" t="inlineStr">
        <is>
          <t>Unknown</t>
        </is>
      </c>
      <c r="S13" s="4" t="inlineStr">
        <is>
          <t>EN-EC-010</t>
        </is>
      </c>
      <c r="T13" s="4" t="n"/>
      <c r="U13" s="4" t="inlineStr">
        <is>
          <t>Seed term. Validate country-specific search volume, KD and SERP intent in GSC / Keyword Planner before final prioritization.</t>
        </is>
      </c>
    </row>
    <row r="14">
      <c r="A14" s="4" t="inlineStr">
        <is>
          <t>EN-KW-011</t>
        </is>
      </c>
      <c r="B14" s="4" t="inlineStr">
        <is>
          <t>CNC network</t>
        </is>
      </c>
      <c r="C14" s="4" t="inlineStr">
        <is>
          <t>Industrial Networking</t>
        </is>
      </c>
      <c r="D14" s="4" t="inlineStr">
        <is>
          <t>CNC machine network, DNC network, shop floor CNC network, CNC networking</t>
        </is>
      </c>
      <c r="E14" s="4" t="inlineStr">
        <is>
          <t>Informational</t>
        </is>
      </c>
      <c r="F14" s="4" t="inlineStr">
        <is>
          <t>Awareness</t>
        </is>
      </c>
      <c r="G14" s="4" t="inlineStr">
        <is>
          <t>Comprehensive Guide</t>
        </is>
      </c>
      <c r="H14" s="4" t="inlineStr">
        <is>
          <t>/en/product</t>
        </is>
      </c>
      <c r="I14" s="4" t="inlineStr">
        <is>
          <t>High</t>
        </is>
      </c>
      <c r="J14" s="4" t="inlineStr">
        <is>
          <t>https://www.cimco.com/software/cimco-dnc-max/</t>
        </is>
      </c>
      <c r="K14" s="4" t="n"/>
      <c r="L14" s="4" t="n"/>
      <c r="M14" s="4" t="n"/>
      <c r="N14" s="4" t="n">
        <v>10</v>
      </c>
      <c r="O14" s="4" t="n"/>
      <c r="P14" s="4" t="n"/>
      <c r="Q14" s="4" t="n"/>
      <c r="R14" s="4" t="inlineStr">
        <is>
          <t>Unknown</t>
        </is>
      </c>
      <c r="S14" s="4" t="inlineStr">
        <is>
          <t>EN-EC-011</t>
        </is>
      </c>
      <c r="T14" s="4" t="n"/>
      <c r="U14" s="4" t="inlineStr">
        <is>
          <t>Seed term. Validate country-specific search volume, KD and SERP intent in GSC / Keyword Planner before final prioritization.</t>
        </is>
      </c>
    </row>
    <row r="15">
      <c r="A15" s="4" t="inlineStr">
        <is>
          <t>EN-KW-012</t>
        </is>
      </c>
      <c r="B15" s="4" t="inlineStr">
        <is>
          <t>connect CNC machine to network</t>
        </is>
      </c>
      <c r="C15" s="4" t="inlineStr">
        <is>
          <t>Industrial Networking</t>
        </is>
      </c>
      <c r="D15" s="4" t="inlineStr">
        <is>
          <t>connect CNC to LAN, CNC Ethernet setup, network CNC machine, CNC file sharing</t>
        </is>
      </c>
      <c r="E15" s="4" t="inlineStr">
        <is>
          <t>Informational</t>
        </is>
      </c>
      <c r="F15" s="4" t="inlineStr">
        <is>
          <t>Awareness</t>
        </is>
      </c>
      <c r="G15" s="4" t="inlineStr">
        <is>
          <t>Technical Tutorial</t>
        </is>
      </c>
      <c r="H15" s="4" t="inlineStr">
        <is>
          <t>/en/product</t>
        </is>
      </c>
      <c r="I15" s="4" t="inlineStr">
        <is>
          <t>High</t>
        </is>
      </c>
      <c r="J15" s="4" t="inlineStr">
        <is>
          <t>https://www.cimco.com/software/cimco-dnc-max/</t>
        </is>
      </c>
      <c r="K15" s="4" t="n"/>
      <c r="L15" s="4" t="n"/>
      <c r="M15" s="4" t="n"/>
      <c r="N15" s="4" t="n">
        <v>10</v>
      </c>
      <c r="O15" s="4" t="n"/>
      <c r="P15" s="4" t="n"/>
      <c r="Q15" s="4" t="n"/>
      <c r="R15" s="4" t="inlineStr">
        <is>
          <t>Unknown</t>
        </is>
      </c>
      <c r="S15" s="4" t="inlineStr">
        <is>
          <t>EN-EC-012</t>
        </is>
      </c>
      <c r="T15" s="4" t="n"/>
      <c r="U15" s="4" t="inlineStr">
        <is>
          <t>Seed term. Validate country-specific search volume, KD and SERP intent in GSC / Keyword Planner before final prioritization.</t>
        </is>
      </c>
    </row>
    <row r="16">
      <c r="A16" s="4" t="inlineStr">
        <is>
          <t>EN-KW-013</t>
        </is>
      </c>
      <c r="B16" s="4" t="inlineStr">
        <is>
          <t>CNC network security</t>
        </is>
      </c>
      <c r="C16" s="4" t="inlineStr">
        <is>
          <t>Industrial Networking</t>
        </is>
      </c>
      <c r="D16" s="4" t="inlineStr">
        <is>
          <t>industrial network security CNC, CNC segmentation, secure CNC file transfer</t>
        </is>
      </c>
      <c r="E16" s="4" t="inlineStr">
        <is>
          <t>Informational</t>
        </is>
      </c>
      <c r="F16" s="4" t="inlineStr">
        <is>
          <t>Awareness</t>
        </is>
      </c>
      <c r="G16" s="4" t="inlineStr">
        <is>
          <t>Comprehensive Guide</t>
        </is>
      </c>
      <c r="H16" s="4" t="inlineStr">
        <is>
          <t>/en/software</t>
        </is>
      </c>
      <c r="I16" s="4" t="inlineStr">
        <is>
          <t>Medium</t>
        </is>
      </c>
      <c r="J16" s="4" t="inlineStr">
        <is>
          <t>https://www.cimco.com/documentation/documents/cimco_nc-base/brochures/en/cimco-nc-base-brochure-en.pdf</t>
        </is>
      </c>
      <c r="K16" s="4" t="n"/>
      <c r="L16" s="4" t="n"/>
      <c r="M16" s="4" t="n"/>
      <c r="N16" s="4" t="n">
        <v>10</v>
      </c>
      <c r="O16" s="4" t="n"/>
      <c r="P16" s="4" t="n"/>
      <c r="Q16" s="4" t="n"/>
      <c r="R16" s="4" t="inlineStr">
        <is>
          <t>Unknown</t>
        </is>
      </c>
      <c r="S16" s="4" t="inlineStr">
        <is>
          <t>EN-EC-013</t>
        </is>
      </c>
      <c r="T16" s="4" t="n"/>
      <c r="U16" s="4" t="inlineStr">
        <is>
          <t>Seed term. Validate country-specific search volume, KD and SERP intent in GSC / Keyword Planner before final prioritization.</t>
        </is>
      </c>
    </row>
    <row r="17">
      <c r="A17" s="4" t="inlineStr">
        <is>
          <t>EN-KW-014</t>
        </is>
      </c>
      <c r="B17" s="4" t="inlineStr">
        <is>
          <t>RS232 CNC file transfer</t>
        </is>
      </c>
      <c r="C17" s="4" t="inlineStr">
        <is>
          <t>Serial Communication</t>
        </is>
      </c>
      <c r="D17" s="4" t="inlineStr">
        <is>
          <t>CNC serial file transfer, RS232 DNC, serial CNC program transfer, DB25 CNC</t>
        </is>
      </c>
      <c r="E17" s="4" t="inlineStr">
        <is>
          <t>Informational</t>
        </is>
      </c>
      <c r="F17" s="4" t="inlineStr">
        <is>
          <t>Awareness</t>
        </is>
      </c>
      <c r="G17" s="4" t="inlineStr">
        <is>
          <t>Technical Tutorial</t>
        </is>
      </c>
      <c r="H17" s="4" t="inlineStr">
        <is>
          <t>/en/product</t>
        </is>
      </c>
      <c r="I17" s="4" t="inlineStr">
        <is>
          <t>Very High</t>
        </is>
      </c>
      <c r="J17" s="4" t="inlineStr">
        <is>
          <t>https://www.cimco.com/software/cimco-dnc-max/</t>
        </is>
      </c>
      <c r="K17" s="4" t="n"/>
      <c r="L17" s="4" t="n"/>
      <c r="M17" s="4" t="n"/>
      <c r="N17" s="4" t="n">
        <v>10</v>
      </c>
      <c r="O17" s="4" t="n"/>
      <c r="P17" s="4" t="n"/>
      <c r="Q17" s="4" t="n"/>
      <c r="R17" s="4" t="inlineStr">
        <is>
          <t>Unknown</t>
        </is>
      </c>
      <c r="S17" s="4" t="inlineStr">
        <is>
          <t>EN-EC-014</t>
        </is>
      </c>
      <c r="T17" s="4" t="n"/>
      <c r="U17" s="4" t="inlineStr">
        <is>
          <t>Seed term. Validate country-specific search volume, KD and SERP intent in GSC / Keyword Planner before final prioritization.</t>
        </is>
      </c>
    </row>
    <row r="18">
      <c r="A18" s="4" t="inlineStr">
        <is>
          <t>EN-KW-015</t>
        </is>
      </c>
      <c r="B18" s="4" t="inlineStr">
        <is>
          <t>CNC RS232 cable pinout</t>
        </is>
      </c>
      <c r="C18" s="4" t="inlineStr">
        <is>
          <t>Serial Communication</t>
        </is>
      </c>
      <c r="D18" s="4" t="inlineStr">
        <is>
          <t>DB9 to DB25 CNC cable, RS232 pinout CNC, null modem CNC cable, serial cable CNC</t>
        </is>
      </c>
      <c r="E18" s="4" t="inlineStr">
        <is>
          <t>Informational</t>
        </is>
      </c>
      <c r="F18" s="4" t="inlineStr">
        <is>
          <t>Awareness</t>
        </is>
      </c>
      <c r="G18" s="4" t="inlineStr">
        <is>
          <t>Technical Tutorial</t>
        </is>
      </c>
      <c r="H18" s="4" t="inlineStr">
        <is>
          <t>/en/product</t>
        </is>
      </c>
      <c r="I18" s="4" t="inlineStr">
        <is>
          <t>High</t>
        </is>
      </c>
      <c r="J18" s="4" t="inlineStr">
        <is>
          <t>https://www.cimco.com/software/cimco-dnc-max/</t>
        </is>
      </c>
      <c r="K18" s="4" t="n"/>
      <c r="L18" s="4" t="n"/>
      <c r="M18" s="4" t="n"/>
      <c r="N18" s="4" t="n">
        <v>10</v>
      </c>
      <c r="O18" s="4" t="n"/>
      <c r="P18" s="4" t="n"/>
      <c r="Q18" s="4" t="n"/>
      <c r="R18" s="4" t="inlineStr">
        <is>
          <t>Unknown</t>
        </is>
      </c>
      <c r="S18" s="4" t="inlineStr">
        <is>
          <t>EN-EC-015</t>
        </is>
      </c>
      <c r="T18" s="4" t="n"/>
      <c r="U18" s="4" t="inlineStr">
        <is>
          <t>Seed term. Validate country-specific search volume, KD and SERP intent in GSC / Keyword Planner before final prioritization.</t>
        </is>
      </c>
    </row>
    <row r="19">
      <c r="A19" s="4" t="inlineStr">
        <is>
          <t>EN-KW-016</t>
        </is>
      </c>
      <c r="B19" s="4" t="inlineStr">
        <is>
          <t>CNC RS232 communication settings</t>
        </is>
      </c>
      <c r="C19" s="4" t="inlineStr">
        <is>
          <t>Serial Communication</t>
        </is>
      </c>
      <c r="D19" s="4" t="inlineStr">
        <is>
          <t>baud rate CNC, parity CNC, data bits stop bits, XON XOFF RTS CTS</t>
        </is>
      </c>
      <c r="E19" s="4" t="inlineStr">
        <is>
          <t>Informational</t>
        </is>
      </c>
      <c r="F19" s="4" t="inlineStr">
        <is>
          <t>Awareness</t>
        </is>
      </c>
      <c r="G19" s="4" t="inlineStr">
        <is>
          <t>Checklist</t>
        </is>
      </c>
      <c r="H19" s="4" t="inlineStr">
        <is>
          <t>/en/product</t>
        </is>
      </c>
      <c r="I19" s="4" t="inlineStr">
        <is>
          <t>High</t>
        </is>
      </c>
      <c r="J19" s="4" t="inlineStr">
        <is>
          <t>https://www.cimco.com/software/cimco-dnc-max/</t>
        </is>
      </c>
      <c r="K19" s="4" t="n"/>
      <c r="L19" s="4" t="n"/>
      <c r="M19" s="4" t="n"/>
      <c r="N19" s="4" t="n">
        <v>10</v>
      </c>
      <c r="O19" s="4" t="n"/>
      <c r="P19" s="4" t="n"/>
      <c r="Q19" s="4" t="n"/>
      <c r="R19" s="4" t="inlineStr">
        <is>
          <t>Unknown</t>
        </is>
      </c>
      <c r="S19" s="4" t="inlineStr">
        <is>
          <t>EN-EC-016</t>
        </is>
      </c>
      <c r="T19" s="4" t="n"/>
      <c r="U19" s="4" t="inlineStr">
        <is>
          <t>Seed term. Validate country-specific search volume, KD and SERP intent in GSC / Keyword Planner before final prioritization.</t>
        </is>
      </c>
    </row>
    <row r="20">
      <c r="A20" s="4" t="inlineStr">
        <is>
          <t>EN-KW-017</t>
        </is>
      </c>
      <c r="B20" s="4" t="inlineStr">
        <is>
          <t>CNC RS232 communication troubleshooting</t>
        </is>
      </c>
      <c r="C20" s="4" t="inlineStr">
        <is>
          <t>Troubleshooting</t>
        </is>
      </c>
      <c r="D20" s="4" t="inlineStr">
        <is>
          <t>RS232 transfer error CNC, serial timeout CNC, parity error CNC, incomplete NC file</t>
        </is>
      </c>
      <c r="E20" s="4" t="inlineStr">
        <is>
          <t>Support</t>
        </is>
      </c>
      <c r="F20" s="4" t="inlineStr">
        <is>
          <t>Post-Purchase</t>
        </is>
      </c>
      <c r="G20" s="4" t="inlineStr">
        <is>
          <t>Troubleshooting</t>
        </is>
      </c>
      <c r="H20" s="4" t="inlineStr">
        <is>
          <t>/en/contact</t>
        </is>
      </c>
      <c r="I20" s="4" t="inlineStr">
        <is>
          <t>High</t>
        </is>
      </c>
      <c r="J20" s="4" t="inlineStr">
        <is>
          <t>https://www.cimco.com/software/cimco-dnc-max/</t>
        </is>
      </c>
      <c r="K20" s="4" t="n"/>
      <c r="L20" s="4" t="n"/>
      <c r="M20" s="4" t="n"/>
      <c r="N20" s="4" t="n">
        <v>10</v>
      </c>
      <c r="O20" s="4" t="n"/>
      <c r="P20" s="4" t="n"/>
      <c r="Q20" s="4" t="n"/>
      <c r="R20" s="4" t="inlineStr">
        <is>
          <t>Unknown</t>
        </is>
      </c>
      <c r="S20" s="4" t="inlineStr">
        <is>
          <t>EN-EC-017</t>
        </is>
      </c>
      <c r="T20" s="4" t="n"/>
      <c r="U20" s="4" t="inlineStr">
        <is>
          <t>Seed term. Validate country-specific search volume, KD and SERP intent in GSC / Keyword Planner before final prioritization.</t>
        </is>
      </c>
    </row>
    <row r="21">
      <c r="A21" s="4" t="inlineStr">
        <is>
          <t>EN-KW-018</t>
        </is>
      </c>
      <c r="B21" s="4" t="inlineStr">
        <is>
          <t>FANUC program transfer</t>
        </is>
      </c>
      <c r="C21" s="4" t="inlineStr">
        <is>
          <t>FANUC Controller</t>
        </is>
      </c>
      <c r="D21" s="4" t="inlineStr">
        <is>
          <t>transfer program to FANUC CNC, FANUC file transfer, FANUC program upload download</t>
        </is>
      </c>
      <c r="E21" s="4" t="inlineStr">
        <is>
          <t>Informational</t>
        </is>
      </c>
      <c r="F21" s="4" t="inlineStr">
        <is>
          <t>Awareness</t>
        </is>
      </c>
      <c r="G21" s="4" t="inlineStr">
        <is>
          <t>Technical Tutorial</t>
        </is>
      </c>
      <c r="H21" s="4" t="inlineStr">
        <is>
          <t>/en/product</t>
        </is>
      </c>
      <c r="I21" s="4" t="inlineStr">
        <is>
          <t>Very High</t>
        </is>
      </c>
      <c r="J21" s="4" t="inlineStr">
        <is>
          <t>https://www.fanucamerica.com/products/software/program-transfer-tool</t>
        </is>
      </c>
      <c r="K21" s="4" t="n"/>
      <c r="L21" s="4" t="n"/>
      <c r="M21" s="4" t="n"/>
      <c r="N21" s="4" t="n">
        <v>10</v>
      </c>
      <c r="O21" s="4" t="n"/>
      <c r="P21" s="4" t="n"/>
      <c r="Q21" s="4" t="n"/>
      <c r="R21" s="4" t="inlineStr">
        <is>
          <t>Unknown</t>
        </is>
      </c>
      <c r="S21" s="4" t="inlineStr">
        <is>
          <t>EN-EC-018</t>
        </is>
      </c>
      <c r="T21" s="4" t="n"/>
      <c r="U21" s="4" t="inlineStr">
        <is>
          <t>Seed term. Validate country-specific search volume, KD and SERP intent in GSC / Keyword Planner before final prioritization.</t>
        </is>
      </c>
    </row>
    <row r="22">
      <c r="A22" s="4" t="inlineStr">
        <is>
          <t>EN-KW-019</t>
        </is>
      </c>
      <c r="B22" s="4" t="inlineStr">
        <is>
          <t>FANUC RS232 settings</t>
        </is>
      </c>
      <c r="C22" s="4" t="inlineStr">
        <is>
          <t>FANUC Controller</t>
        </is>
      </c>
      <c r="D22" s="4" t="inlineStr">
        <is>
          <t>FANUC serial settings, FANUC I/O channel, FANUC RS232 communication</t>
        </is>
      </c>
      <c r="E22" s="4" t="inlineStr">
        <is>
          <t>Informational</t>
        </is>
      </c>
      <c r="F22" s="4" t="inlineStr">
        <is>
          <t>Awareness</t>
        </is>
      </c>
      <c r="G22" s="4" t="inlineStr">
        <is>
          <t>Checklist</t>
        </is>
      </c>
      <c r="H22" s="4" t="inlineStr">
        <is>
          <t>/en/product</t>
        </is>
      </c>
      <c r="I22" s="4" t="inlineStr">
        <is>
          <t>Very High</t>
        </is>
      </c>
      <c r="J22" s="4" t="inlineStr">
        <is>
          <t>https://www.fanucamerica.com/products/software/program-transfer-tool</t>
        </is>
      </c>
      <c r="K22" s="4" t="n"/>
      <c r="L22" s="4" t="n"/>
      <c r="M22" s="4" t="n"/>
      <c r="N22" s="4" t="n">
        <v>10</v>
      </c>
      <c r="O22" s="4" t="n"/>
      <c r="P22" s="4" t="n"/>
      <c r="Q22" s="4" t="n"/>
      <c r="R22" s="4" t="inlineStr">
        <is>
          <t>Unknown</t>
        </is>
      </c>
      <c r="S22" s="4" t="inlineStr">
        <is>
          <t>EN-EC-019</t>
        </is>
      </c>
      <c r="T22" s="4" t="n"/>
      <c r="U22" s="4" t="inlineStr">
        <is>
          <t>Seed term. Validate country-specific search volume, KD and SERP intent in GSC / Keyword Planner before final prioritization.</t>
        </is>
      </c>
    </row>
    <row r="23">
      <c r="A23" s="4" t="inlineStr">
        <is>
          <t>EN-KW-020</t>
        </is>
      </c>
      <c r="B23" s="4" t="inlineStr">
        <is>
          <t>FANUC RS232 parameters</t>
        </is>
      </c>
      <c r="C23" s="4" t="inlineStr">
        <is>
          <t>FANUC Controller</t>
        </is>
      </c>
      <c r="D23" s="4" t="inlineStr">
        <is>
          <t>FANUC I/O parameters, FANUC punch read settings, FANUC serial parameters</t>
        </is>
      </c>
      <c r="E23" s="4" t="inlineStr">
        <is>
          <t>Informational</t>
        </is>
      </c>
      <c r="F23" s="4" t="inlineStr">
        <is>
          <t>Awareness</t>
        </is>
      </c>
      <c r="G23" s="4" t="inlineStr">
        <is>
          <t>Technical Tutorial</t>
        </is>
      </c>
      <c r="H23" s="4" t="inlineStr">
        <is>
          <t>/en/product</t>
        </is>
      </c>
      <c r="I23" s="4" t="inlineStr">
        <is>
          <t>High</t>
        </is>
      </c>
      <c r="J23" s="4" t="inlineStr">
        <is>
          <t>https://www.fanucamerica.com/products/software/program-transfer-tool</t>
        </is>
      </c>
      <c r="K23" s="4" t="n"/>
      <c r="L23" s="4" t="n"/>
      <c r="M23" s="4" t="n"/>
      <c r="N23" s="4" t="n">
        <v>10</v>
      </c>
      <c r="O23" s="4" t="n"/>
      <c r="P23" s="4" t="n"/>
      <c r="Q23" s="4" t="n"/>
      <c r="R23" s="4" t="inlineStr">
        <is>
          <t>Unknown</t>
        </is>
      </c>
      <c r="S23" s="4" t="inlineStr">
        <is>
          <t>EN-EC-020</t>
        </is>
      </c>
      <c r="T23" s="4" t="n"/>
      <c r="U23" s="4" t="inlineStr">
        <is>
          <t>Seed term. Validate country-specific search volume, KD and SERP intent in GSC / Keyword Planner before final prioritization.</t>
        </is>
      </c>
    </row>
    <row r="24">
      <c r="A24" s="4" t="inlineStr">
        <is>
          <t>EN-KW-021</t>
        </is>
      </c>
      <c r="B24" s="4" t="inlineStr">
        <is>
          <t>FANUC baud rate settings</t>
        </is>
      </c>
      <c r="C24" s="4" t="inlineStr">
        <is>
          <t>FANUC Controller</t>
        </is>
      </c>
      <c r="D24" s="4" t="inlineStr">
        <is>
          <t>FANUC baud rate, FANUC parity settings, FANUC serial communication speed</t>
        </is>
      </c>
      <c r="E24" s="4" t="inlineStr">
        <is>
          <t>Informational</t>
        </is>
      </c>
      <c r="F24" s="4" t="inlineStr">
        <is>
          <t>Awareness</t>
        </is>
      </c>
      <c r="G24" s="4" t="inlineStr">
        <is>
          <t>Technical Tutorial</t>
        </is>
      </c>
      <c r="H24" s="4" t="inlineStr">
        <is>
          <t>/en/product</t>
        </is>
      </c>
      <c r="I24" s="4" t="inlineStr">
        <is>
          <t>Medium</t>
        </is>
      </c>
      <c r="J24" s="4" t="inlineStr">
        <is>
          <t>https://www.fanucamerica.com/products/software/program-transfer-tool</t>
        </is>
      </c>
      <c r="K24" s="4" t="n"/>
      <c r="L24" s="4" t="n"/>
      <c r="M24" s="4" t="n"/>
      <c r="N24" s="4" t="n">
        <v>10</v>
      </c>
      <c r="O24" s="4" t="n"/>
      <c r="P24" s="4" t="n"/>
      <c r="Q24" s="4" t="n"/>
      <c r="R24" s="4" t="inlineStr">
        <is>
          <t>Unknown</t>
        </is>
      </c>
      <c r="S24" s="4" t="inlineStr">
        <is>
          <t>EN-EC-021</t>
        </is>
      </c>
      <c r="T24" s="4" t="n"/>
      <c r="U24" s="4" t="inlineStr">
        <is>
          <t>Seed term. Validate country-specific search volume, KD and SERP intent in GSC / Keyword Planner before final prioritization.</t>
        </is>
      </c>
    </row>
    <row r="25">
      <c r="A25" s="4" t="inlineStr">
        <is>
          <t>EN-KW-022</t>
        </is>
      </c>
      <c r="B25" s="4" t="inlineStr">
        <is>
          <t>SINUMERIK program transfer</t>
        </is>
      </c>
      <c r="C25" s="4" t="inlineStr">
        <is>
          <t>Siemens Controller</t>
        </is>
      </c>
      <c r="D25" s="4" t="inlineStr">
        <is>
          <t>Siemens CNC program transfer, SINUMERIK file transfer, transfer NC program Siemens</t>
        </is>
      </c>
      <c r="E25" s="4" t="inlineStr">
        <is>
          <t>Informational</t>
        </is>
      </c>
      <c r="F25" s="4" t="inlineStr">
        <is>
          <t>Awareness</t>
        </is>
      </c>
      <c r="G25" s="4" t="inlineStr">
        <is>
          <t>Technical Tutorial</t>
        </is>
      </c>
      <c r="H25" s="4" t="inlineStr">
        <is>
          <t>/en/product</t>
        </is>
      </c>
      <c r="I25" s="4" t="inlineStr">
        <is>
          <t>High</t>
        </is>
      </c>
      <c r="J25" s="4" t="inlineStr">
        <is>
          <t>https://support.industry.siemens.com/cs/attachments/28739208/FBDN_0410_en.pdf</t>
        </is>
      </c>
      <c r="K25" s="4" t="n"/>
      <c r="L25" s="4" t="n"/>
      <c r="M25" s="4" t="n"/>
      <c r="N25" s="4" t="n">
        <v>10</v>
      </c>
      <c r="O25" s="4" t="n"/>
      <c r="P25" s="4" t="n"/>
      <c r="Q25" s="4" t="n"/>
      <c r="R25" s="4" t="inlineStr">
        <is>
          <t>Unknown</t>
        </is>
      </c>
      <c r="S25" s="4" t="inlineStr">
        <is>
          <t>EN-EC-022</t>
        </is>
      </c>
      <c r="T25" s="4" t="n"/>
      <c r="U25" s="4" t="inlineStr">
        <is>
          <t>Seed term. Validate country-specific search volume, KD and SERP intent in GSC / Keyword Planner before final prioritization.</t>
        </is>
      </c>
    </row>
    <row r="26">
      <c r="A26" s="4" t="inlineStr">
        <is>
          <t>EN-KW-023</t>
        </is>
      </c>
      <c r="B26" s="4" t="inlineStr">
        <is>
          <t>Siemens CNC network file transfer</t>
        </is>
      </c>
      <c r="C26" s="4" t="inlineStr">
        <is>
          <t>Siemens Controller</t>
        </is>
      </c>
      <c r="D26" s="4" t="inlineStr">
        <is>
          <t>SINUMERIK network transfer, Siemens CNC Ethernet, Siemens NC file transfer</t>
        </is>
      </c>
      <c r="E26" s="4" t="inlineStr">
        <is>
          <t>Informational</t>
        </is>
      </c>
      <c r="F26" s="4" t="inlineStr">
        <is>
          <t>Awareness</t>
        </is>
      </c>
      <c r="G26" s="4" t="inlineStr">
        <is>
          <t>Technical Tutorial</t>
        </is>
      </c>
      <c r="H26" s="4" t="inlineStr">
        <is>
          <t>/en/product</t>
        </is>
      </c>
      <c r="I26" s="4" t="inlineStr">
        <is>
          <t>High</t>
        </is>
      </c>
      <c r="J26" s="4" t="inlineStr">
        <is>
          <t>https://support.industry.siemens.com/cs/attachments/28739208/FBDN_0410_en.pdf</t>
        </is>
      </c>
      <c r="K26" s="4" t="n"/>
      <c r="L26" s="4" t="n"/>
      <c r="M26" s="4" t="n"/>
      <c r="N26" s="4" t="n">
        <v>10</v>
      </c>
      <c r="O26" s="4" t="n"/>
      <c r="P26" s="4" t="n"/>
      <c r="Q26" s="4" t="n"/>
      <c r="R26" s="4" t="inlineStr">
        <is>
          <t>Unknown</t>
        </is>
      </c>
      <c r="S26" s="4" t="inlineStr">
        <is>
          <t>EN-EC-023</t>
        </is>
      </c>
      <c r="T26" s="4" t="n"/>
      <c r="U26" s="4" t="inlineStr">
        <is>
          <t>Seed term. Validate country-specific search volume, KD and SERP intent in GSC / Keyword Planner before final prioritization.</t>
        </is>
      </c>
    </row>
    <row r="27">
      <c r="A27" s="4" t="inlineStr">
        <is>
          <t>EN-KW-024</t>
        </is>
      </c>
      <c r="B27" s="4" t="inlineStr">
        <is>
          <t>HEIDENHAIN program transfer</t>
        </is>
      </c>
      <c r="C27" s="4" t="inlineStr">
        <is>
          <t>HEIDENHAIN Controller</t>
        </is>
      </c>
      <c r="D27" s="4" t="inlineStr">
        <is>
          <t>HEIDENHAIN file transfer, TNC program transfer, TNCremo transfer</t>
        </is>
      </c>
      <c r="E27" s="4" t="inlineStr">
        <is>
          <t>Informational</t>
        </is>
      </c>
      <c r="F27" s="4" t="inlineStr">
        <is>
          <t>Awareness</t>
        </is>
      </c>
      <c r="G27" s="4" t="inlineStr">
        <is>
          <t>Technical Tutorial</t>
        </is>
      </c>
      <c r="H27" s="4" t="inlineStr">
        <is>
          <t>/en/product</t>
        </is>
      </c>
      <c r="I27" s="4" t="inlineStr">
        <is>
          <t>High</t>
        </is>
      </c>
      <c r="J27" s="4" t="inlineStr">
        <is>
          <t>https://www.klartext-portal.com/tips/nc-solutions/transferring-files-directly-from-the-explorer-to-the-control-using-tncremo</t>
        </is>
      </c>
      <c r="K27" s="4" t="n"/>
      <c r="L27" s="4" t="n"/>
      <c r="M27" s="4" t="n"/>
      <c r="N27" s="4" t="n">
        <v>10</v>
      </c>
      <c r="O27" s="4" t="n"/>
      <c r="P27" s="4" t="n"/>
      <c r="Q27" s="4" t="n"/>
      <c r="R27" s="4" t="inlineStr">
        <is>
          <t>Unknown</t>
        </is>
      </c>
      <c r="S27" s="4" t="inlineStr">
        <is>
          <t>EN-EC-024</t>
        </is>
      </c>
      <c r="T27" s="4" t="n"/>
      <c r="U27" s="4" t="inlineStr">
        <is>
          <t>Seed term. Validate country-specific search volume, KD and SERP intent in GSC / Keyword Planner before final prioritization.</t>
        </is>
      </c>
    </row>
    <row r="28">
      <c r="A28" s="4" t="inlineStr">
        <is>
          <t>EN-KW-025</t>
        </is>
      </c>
      <c r="B28" s="4" t="inlineStr">
        <is>
          <t>TNCremo file transfer</t>
        </is>
      </c>
      <c r="C28" s="4" t="inlineStr">
        <is>
          <t>HEIDENHAIN Controller</t>
        </is>
      </c>
      <c r="D28" s="4" t="inlineStr">
        <is>
          <t>TNCremo data transfer, HEIDENHAIN TNCremo, transfer files to TNC control</t>
        </is>
      </c>
      <c r="E28" s="4" t="inlineStr">
        <is>
          <t>Informational</t>
        </is>
      </c>
      <c r="F28" s="4" t="inlineStr">
        <is>
          <t>Awareness</t>
        </is>
      </c>
      <c r="G28" s="4" t="inlineStr">
        <is>
          <t>Technical Tutorial</t>
        </is>
      </c>
      <c r="H28" s="4" t="inlineStr">
        <is>
          <t>/en/product</t>
        </is>
      </c>
      <c r="I28" s="4" t="inlineStr">
        <is>
          <t>High</t>
        </is>
      </c>
      <c r="J28" s="4" t="inlineStr">
        <is>
          <t>https://www.klartext-portal.com/tips/nc-solutions/transferring-files-directly-from-the-explorer-to-the-control-using-tncremo</t>
        </is>
      </c>
      <c r="K28" s="4" t="n"/>
      <c r="L28" s="4" t="n"/>
      <c r="M28" s="4" t="n"/>
      <c r="N28" s="4" t="n">
        <v>10</v>
      </c>
      <c r="O28" s="4" t="n"/>
      <c r="P28" s="4" t="n"/>
      <c r="Q28" s="4" t="n"/>
      <c r="R28" s="4" t="inlineStr">
        <is>
          <t>Unknown</t>
        </is>
      </c>
      <c r="S28" s="4" t="inlineStr">
        <is>
          <t>EN-EC-025</t>
        </is>
      </c>
      <c r="T28" s="4" t="n"/>
      <c r="U28" s="4" t="inlineStr">
        <is>
          <t>Seed term. Validate country-specific search volume, KD and SERP intent in GSC / Keyword Planner before final prioritization.</t>
        </is>
      </c>
    </row>
    <row r="29">
      <c r="A29" s="4" t="inlineStr">
        <is>
          <t>EN-KW-026</t>
        </is>
      </c>
      <c r="B29" s="4" t="inlineStr">
        <is>
          <t>HEIDENHAIN network setup</t>
        </is>
      </c>
      <c r="C29" s="4" t="inlineStr">
        <is>
          <t>HEIDENHAIN Controller</t>
        </is>
      </c>
      <c r="D29" s="4" t="inlineStr">
        <is>
          <t>TNC network setup, HEIDENHAIN Ethernet, TNCremo network connection</t>
        </is>
      </c>
      <c r="E29" s="4" t="inlineStr">
        <is>
          <t>Informational</t>
        </is>
      </c>
      <c r="F29" s="4" t="inlineStr">
        <is>
          <t>Awareness</t>
        </is>
      </c>
      <c r="G29" s="4" t="inlineStr">
        <is>
          <t>Technical Tutorial</t>
        </is>
      </c>
      <c r="H29" s="4" t="inlineStr">
        <is>
          <t>/en/product</t>
        </is>
      </c>
      <c r="I29" s="4" t="inlineStr">
        <is>
          <t>Medium</t>
        </is>
      </c>
      <c r="J29" s="4" t="inlineStr">
        <is>
          <t>https://www.klartext-portal.com/tips/nc-solutions/transferring-files-directly-from-the-explorer-to-the-control-using-tncremo</t>
        </is>
      </c>
      <c r="K29" s="4" t="n"/>
      <c r="L29" s="4" t="n"/>
      <c r="M29" s="4" t="n"/>
      <c r="N29" s="4" t="n">
        <v>10</v>
      </c>
      <c r="O29" s="4" t="n"/>
      <c r="P29" s="4" t="n"/>
      <c r="Q29" s="4" t="n"/>
      <c r="R29" s="4" t="inlineStr">
        <is>
          <t>Unknown</t>
        </is>
      </c>
      <c r="S29" s="4" t="inlineStr">
        <is>
          <t>EN-EC-026</t>
        </is>
      </c>
      <c r="T29" s="4" t="n"/>
      <c r="U29" s="4" t="inlineStr">
        <is>
          <t>Seed term. Validate country-specific search volume, KD and SERP intent in GSC / Keyword Planner before final prioritization.</t>
        </is>
      </c>
    </row>
    <row r="30">
      <c r="A30" s="4" t="inlineStr">
        <is>
          <t>EN-KW-027</t>
        </is>
      </c>
      <c r="B30" s="4" t="inlineStr">
        <is>
          <t>Mitsubishi CNC program transfer</t>
        </is>
      </c>
      <c r="C30" s="4" t="inlineStr">
        <is>
          <t>Controller Compatibility</t>
        </is>
      </c>
      <c r="D30" s="4" t="inlineStr">
        <is>
          <t>MELDAS program transfer, Mitsubishi CNC RS232, Mitsubishi CNC Ethernet transfer</t>
        </is>
      </c>
      <c r="E30" s="4" t="inlineStr">
        <is>
          <t>Informational</t>
        </is>
      </c>
      <c r="F30" s="4" t="inlineStr">
        <is>
          <t>Awareness</t>
        </is>
      </c>
      <c r="G30" s="4" t="inlineStr">
        <is>
          <t>Technical Tutorial</t>
        </is>
      </c>
      <c r="H30" s="4" t="inlineStr">
        <is>
          <t>/en/product</t>
        </is>
      </c>
      <c r="I30" s="4" t="inlineStr">
        <is>
          <t>Medium</t>
        </is>
      </c>
      <c r="J30" s="4" t="inlineStr">
        <is>
          <t>https://www.mitsubishielectric.com/dl/fa/document/manual/cnc/bnp-b2183%28eng%29/bnp-b2183%28eng%29k.pdf</t>
        </is>
      </c>
      <c r="K30" s="4" t="n"/>
      <c r="L30" s="4" t="n"/>
      <c r="M30" s="4" t="n"/>
      <c r="N30" s="4" t="n">
        <v>10</v>
      </c>
      <c r="O30" s="4" t="n"/>
      <c r="P30" s="4" t="n"/>
      <c r="Q30" s="4" t="n"/>
      <c r="R30" s="4" t="inlineStr">
        <is>
          <t>Unknown</t>
        </is>
      </c>
      <c r="S30" s="4" t="inlineStr">
        <is>
          <t>EN-EC-027</t>
        </is>
      </c>
      <c r="T30" s="4" t="n"/>
      <c r="U30" s="4" t="inlineStr">
        <is>
          <t>Seed term. Validate country-specific search volume, KD and SERP intent in GSC / Keyword Planner before final prioritization.</t>
        </is>
      </c>
    </row>
    <row r="31">
      <c r="A31" s="4" t="inlineStr">
        <is>
          <t>EN-KW-028</t>
        </is>
      </c>
      <c r="B31" s="4" t="inlineStr">
        <is>
          <t>Haas CNC program transfer</t>
        </is>
      </c>
      <c r="C31" s="4" t="inlineStr">
        <is>
          <t>Controller Compatibility</t>
        </is>
      </c>
      <c r="D31" s="4" t="inlineStr">
        <is>
          <t>Haas file transfer, Haas Ethernet transfer, Haas program upload download</t>
        </is>
      </c>
      <c r="E31" s="4" t="inlineStr">
        <is>
          <t>Informational</t>
        </is>
      </c>
      <c r="F31" s="4" t="inlineStr">
        <is>
          <t>Awareness</t>
        </is>
      </c>
      <c r="G31" s="4" t="inlineStr">
        <is>
          <t>Technical Tutorial</t>
        </is>
      </c>
      <c r="H31" s="4" t="inlineStr">
        <is>
          <t>/en/product</t>
        </is>
      </c>
      <c r="I31" s="4" t="inlineStr">
        <is>
          <t>Medium</t>
        </is>
      </c>
      <c r="J31" s="4" t="inlineStr">
        <is>
          <t>https://www.haascnc.com/productivity/control/ethernet.html</t>
        </is>
      </c>
      <c r="K31" s="4" t="n"/>
      <c r="L31" s="4" t="n"/>
      <c r="M31" s="4" t="n"/>
      <c r="N31" s="4" t="n">
        <v>10</v>
      </c>
      <c r="O31" s="4" t="n"/>
      <c r="P31" s="4" t="n"/>
      <c r="Q31" s="4" t="n"/>
      <c r="R31" s="4" t="inlineStr">
        <is>
          <t>Unknown</t>
        </is>
      </c>
      <c r="S31" s="4" t="inlineStr">
        <is>
          <t>EN-EC-028</t>
        </is>
      </c>
      <c r="T31" s="4" t="n"/>
      <c r="U31" s="4" t="inlineStr">
        <is>
          <t>Seed term. Validate country-specific search volume, KD and SERP intent in GSC / Keyword Planner before final prioritization.</t>
        </is>
      </c>
    </row>
    <row r="32">
      <c r="A32" s="4" t="inlineStr">
        <is>
          <t>EN-KW-029</t>
        </is>
      </c>
      <c r="B32" s="4" t="inlineStr">
        <is>
          <t>Charmilles program transfer</t>
        </is>
      </c>
      <c r="C32" s="4" t="inlineStr">
        <is>
          <t>Controller Compatibility</t>
        </is>
      </c>
      <c r="D32" s="4" t="inlineStr">
        <is>
          <t>Charmilles DNC, EDM file transfer, Charmilles serial communication</t>
        </is>
      </c>
      <c r="E32" s="4" t="inlineStr">
        <is>
          <t>Informational</t>
        </is>
      </c>
      <c r="F32" s="4" t="inlineStr">
        <is>
          <t>Awareness</t>
        </is>
      </c>
      <c r="G32" s="4" t="inlineStr">
        <is>
          <t>Technical Tutorial</t>
        </is>
      </c>
      <c r="H32" s="4" t="inlineStr">
        <is>
          <t>/en/product</t>
        </is>
      </c>
      <c r="I32" s="4" t="inlineStr">
        <is>
          <t>Medium</t>
        </is>
      </c>
      <c r="J32" s="4" t="inlineStr">
        <is>
          <t>https://www.cimco.com/software/cimco-dnc-max/</t>
        </is>
      </c>
      <c r="K32" s="4" t="n"/>
      <c r="L32" s="4" t="n"/>
      <c r="M32" s="4" t="n"/>
      <c r="N32" s="4" t="n">
        <v>10</v>
      </c>
      <c r="O32" s="4" t="n"/>
      <c r="P32" s="4" t="n"/>
      <c r="Q32" s="4" t="n"/>
      <c r="R32" s="4" t="inlineStr">
        <is>
          <t>Unknown</t>
        </is>
      </c>
      <c r="S32" s="4" t="inlineStr">
        <is>
          <t>EN-EC-029</t>
        </is>
      </c>
      <c r="T32" s="4" t="n"/>
      <c r="U32" s="4" t="inlineStr">
        <is>
          <t>Seed term. Validate country-specific search volume, KD and SERP intent in GSC / Keyword Planner before final prioritization.</t>
        </is>
      </c>
    </row>
    <row r="33">
      <c r="A33" s="4" t="inlineStr">
        <is>
          <t>EN-KW-030</t>
        </is>
      </c>
      <c r="B33" s="4" t="inlineStr">
        <is>
          <t>CNC program backup</t>
        </is>
      </c>
      <c r="C33" s="4" t="inlineStr">
        <is>
          <t>Security &amp; Backup</t>
        </is>
      </c>
      <c r="D33" s="4" t="inlineStr">
        <is>
          <t>backup CNC programs, NC program backup, G-code backup, CNC file archive</t>
        </is>
      </c>
      <c r="E33" s="4" t="inlineStr">
        <is>
          <t>Informational</t>
        </is>
      </c>
      <c r="F33" s="4" t="inlineStr">
        <is>
          <t>Awareness</t>
        </is>
      </c>
      <c r="G33" s="4" t="inlineStr">
        <is>
          <t>Comprehensive Guide</t>
        </is>
      </c>
      <c r="H33" s="4" t="inlineStr">
        <is>
          <t>/en/software</t>
        </is>
      </c>
      <c r="I33" s="4" t="inlineStr">
        <is>
          <t>High</t>
        </is>
      </c>
      <c r="J33" s="4" t="inlineStr">
        <is>
          <t>https://www.cimco.com/documentation/documents/cimco_nc-base/brochures/en/cimco-nc-base-brochure-en.pdf</t>
        </is>
      </c>
      <c r="K33" s="4" t="n"/>
      <c r="L33" s="4" t="n"/>
      <c r="M33" s="4" t="n"/>
      <c r="N33" s="4" t="n">
        <v>10</v>
      </c>
      <c r="O33" s="4" t="n"/>
      <c r="P33" s="4" t="n"/>
      <c r="Q33" s="4" t="n"/>
      <c r="R33" s="4" t="inlineStr">
        <is>
          <t>Unknown</t>
        </is>
      </c>
      <c r="S33" s="4" t="inlineStr">
        <is>
          <t>EN-EC-030</t>
        </is>
      </c>
      <c r="T33" s="4" t="n"/>
      <c r="U33" s="4" t="inlineStr">
        <is>
          <t>Seed term. Validate country-specific search volume, KD and SERP intent in GSC / Keyword Planner before final prioritization.</t>
        </is>
      </c>
    </row>
    <row r="34">
      <c r="A34" s="4" t="inlineStr">
        <is>
          <t>EN-KW-031</t>
        </is>
      </c>
      <c r="B34" s="4" t="inlineStr">
        <is>
          <t>CNC backup and restore</t>
        </is>
      </c>
      <c r="C34" s="4" t="inlineStr">
        <is>
          <t>Security &amp; Backup</t>
        </is>
      </c>
      <c r="D34" s="4" t="inlineStr">
        <is>
          <t>CNC parameter backup, restore CNC programs, CNC disaster recovery, CNC backup strategy</t>
        </is>
      </c>
      <c r="E34" s="4" t="inlineStr">
        <is>
          <t>Informational</t>
        </is>
      </c>
      <c r="F34" s="4" t="inlineStr">
        <is>
          <t>Awareness</t>
        </is>
      </c>
      <c r="G34" s="4" t="inlineStr">
        <is>
          <t>Comprehensive Guide</t>
        </is>
      </c>
      <c r="H34" s="4" t="inlineStr">
        <is>
          <t>/en/software</t>
        </is>
      </c>
      <c r="I34" s="4" t="inlineStr">
        <is>
          <t>High</t>
        </is>
      </c>
      <c r="J34" s="4" t="inlineStr">
        <is>
          <t>https://www.cimco.com/documentation/documents/cimco_nc-base/brochures/en/cimco-nc-base-brochure-en.pdf</t>
        </is>
      </c>
      <c r="K34" s="4" t="n"/>
      <c r="L34" s="4" t="n"/>
      <c r="M34" s="4" t="n"/>
      <c r="N34" s="4" t="n">
        <v>10</v>
      </c>
      <c r="O34" s="4" t="n"/>
      <c r="P34" s="4" t="n"/>
      <c r="Q34" s="4" t="n"/>
      <c r="R34" s="4" t="inlineStr">
        <is>
          <t>Unknown</t>
        </is>
      </c>
      <c r="S34" s="4" t="inlineStr">
        <is>
          <t>EN-EC-031</t>
        </is>
      </c>
      <c r="T34" s="4" t="n"/>
      <c r="U34" s="4" t="inlineStr">
        <is>
          <t>Seed term. Validate country-specific search volume, KD and SERP intent in GSC / Keyword Planner before final prioritization.</t>
        </is>
      </c>
    </row>
    <row r="35">
      <c r="A35" s="4" t="inlineStr">
        <is>
          <t>EN-KW-032</t>
        </is>
      </c>
      <c r="B35" s="4" t="inlineStr">
        <is>
          <t>CNC program management</t>
        </is>
      </c>
      <c r="C35" s="4" t="inlineStr">
        <is>
          <t>Program Management</t>
        </is>
      </c>
      <c r="D35" s="4" t="inlineStr">
        <is>
          <t>NC program management, CNC file management, G-code management, central CNC repository</t>
        </is>
      </c>
      <c r="E35" s="4" t="inlineStr">
        <is>
          <t>Commercial</t>
        </is>
      </c>
      <c r="F35" s="4" t="inlineStr">
        <is>
          <t>Consideration</t>
        </is>
      </c>
      <c r="G35" s="4" t="inlineStr">
        <is>
          <t>Comprehensive Guide</t>
        </is>
      </c>
      <c r="H35" s="4" t="inlineStr">
        <is>
          <t>/en/software</t>
        </is>
      </c>
      <c r="I35" s="4" t="inlineStr">
        <is>
          <t>Very High</t>
        </is>
      </c>
      <c r="J35" s="4" t="inlineStr">
        <is>
          <t>https://www.cimco.com/documentation/documents/cimco_nc-base/brochures/en/cimco-nc-base-brochure-en.pdf</t>
        </is>
      </c>
      <c r="K35" s="4" t="n"/>
      <c r="L35" s="4" t="n"/>
      <c r="M35" s="4" t="n"/>
      <c r="N35" s="4" t="n">
        <v>10</v>
      </c>
      <c r="O35" s="4" t="n"/>
      <c r="P35" s="4" t="n"/>
      <c r="Q35" s="4" t="n"/>
      <c r="R35" s="4" t="inlineStr">
        <is>
          <t>Unknown</t>
        </is>
      </c>
      <c r="S35" s="4" t="inlineStr">
        <is>
          <t>EN-EC-032</t>
        </is>
      </c>
      <c r="T35" s="4" t="n"/>
      <c r="U35" s="4" t="inlineStr">
        <is>
          <t>Seed term. Validate country-specific search volume, KD and SERP intent in GSC / Keyword Planner before final prioritization.</t>
        </is>
      </c>
    </row>
    <row r="36">
      <c r="A36" s="4" t="inlineStr">
        <is>
          <t>EN-KW-033</t>
        </is>
      </c>
      <c r="B36" s="4" t="inlineStr">
        <is>
          <t>CNC program version control</t>
        </is>
      </c>
      <c r="C36" s="4" t="inlineStr">
        <is>
          <t>Program Management</t>
        </is>
      </c>
      <c r="D36" s="4" t="inlineStr">
        <is>
          <t>CNC revision control, NC program versions, G-code version control, CNC change history</t>
        </is>
      </c>
      <c r="E36" s="4" t="inlineStr">
        <is>
          <t>Commercial</t>
        </is>
      </c>
      <c r="F36" s="4" t="inlineStr">
        <is>
          <t>Consideration</t>
        </is>
      </c>
      <c r="G36" s="4" t="inlineStr">
        <is>
          <t>Industrial Use Case</t>
        </is>
      </c>
      <c r="H36" s="4" t="inlineStr">
        <is>
          <t>/en/software</t>
        </is>
      </c>
      <c r="I36" s="4" t="inlineStr">
        <is>
          <t>High</t>
        </is>
      </c>
      <c r="J36" s="4" t="inlineStr">
        <is>
          <t>https://www.cimco.com/documentation/documents/cimco_nc-base/brochures/en/cimco-nc-base-brochure-en.pdf</t>
        </is>
      </c>
      <c r="K36" s="4" t="n"/>
      <c r="L36" s="4" t="n"/>
      <c r="M36" s="4" t="n"/>
      <c r="N36" s="4" t="n">
        <v>10</v>
      </c>
      <c r="O36" s="4" t="n"/>
      <c r="P36" s="4" t="n"/>
      <c r="Q36" s="4" t="n"/>
      <c r="R36" s="4" t="inlineStr">
        <is>
          <t>Unknown</t>
        </is>
      </c>
      <c r="S36" s="4" t="inlineStr">
        <is>
          <t>EN-EC-033</t>
        </is>
      </c>
      <c r="T36" s="4" t="n"/>
      <c r="U36" s="4" t="inlineStr">
        <is>
          <t>Seed term. Validate country-specific search volume, KD and SERP intent in GSC / Keyword Planner before final prioritization.</t>
        </is>
      </c>
    </row>
    <row r="37">
      <c r="A37" s="4" t="inlineStr">
        <is>
          <t>EN-KW-034</t>
        </is>
      </c>
      <c r="B37" s="4" t="inlineStr">
        <is>
          <t>what is an NC file</t>
        </is>
      </c>
      <c r="C37" s="4" t="inlineStr">
        <is>
          <t>CNC Basics</t>
        </is>
      </c>
      <c r="D37" s="4" t="inlineStr">
        <is>
          <t>NC file format, NC program file, G-code file, CNC program file extension</t>
        </is>
      </c>
      <c r="E37" s="4" t="inlineStr">
        <is>
          <t>Informational</t>
        </is>
      </c>
      <c r="F37" s="4" t="inlineStr">
        <is>
          <t>Awareness</t>
        </is>
      </c>
      <c r="G37" s="4" t="inlineStr">
        <is>
          <t>Comprehensive Guide</t>
        </is>
      </c>
      <c r="H37" s="4" t="inlineStr">
        <is>
          <t>/en/blog</t>
        </is>
      </c>
      <c r="I37" s="4" t="inlineStr">
        <is>
          <t>High</t>
        </is>
      </c>
      <c r="J37" s="4" t="inlineStr">
        <is>
          <t>https://www.cimco.com/software/cimco-dnc-max/</t>
        </is>
      </c>
      <c r="K37" s="4" t="n"/>
      <c r="L37" s="4" t="n"/>
      <c r="M37" s="4" t="n"/>
      <c r="N37" s="4" t="n">
        <v>10</v>
      </c>
      <c r="O37" s="4" t="n"/>
      <c r="P37" s="4" t="n"/>
      <c r="Q37" s="4" t="n"/>
      <c r="R37" s="4" t="inlineStr">
        <is>
          <t>Unknown</t>
        </is>
      </c>
      <c r="S37" s="4" t="inlineStr">
        <is>
          <t>EN-EC-034</t>
        </is>
      </c>
      <c r="T37" s="4" t="n"/>
      <c r="U37" s="4" t="inlineStr">
        <is>
          <t>Seed term. Validate country-specific search volume, KD and SERP intent in GSC / Keyword Planner before final prioritization.</t>
        </is>
      </c>
    </row>
    <row r="38">
      <c r="A38" s="4" t="inlineStr">
        <is>
          <t>EN-KW-035</t>
        </is>
      </c>
      <c r="B38" s="4" t="inlineStr">
        <is>
          <t>CNC file access control</t>
        </is>
      </c>
      <c r="C38" s="4" t="inlineStr">
        <is>
          <t>Security &amp; Backup</t>
        </is>
      </c>
      <c r="D38" s="4" t="inlineStr">
        <is>
          <t>CNC user permissions, NC file permissions, CNC program access, operator access control</t>
        </is>
      </c>
      <c r="E38" s="4" t="inlineStr">
        <is>
          <t>Informational</t>
        </is>
      </c>
      <c r="F38" s="4" t="inlineStr">
        <is>
          <t>Awareness</t>
        </is>
      </c>
      <c r="G38" s="4" t="inlineStr">
        <is>
          <t>Comprehensive Guide</t>
        </is>
      </c>
      <c r="H38" s="4" t="inlineStr">
        <is>
          <t>/en/software</t>
        </is>
      </c>
      <c r="I38" s="4" t="inlineStr">
        <is>
          <t>Medium</t>
        </is>
      </c>
      <c r="J38" s="4" t="inlineStr">
        <is>
          <t>https://www.cimco.com/documentation/documents/cimco_nc-base/brochures/en/cimco-nc-base-brochure-en.pdf</t>
        </is>
      </c>
      <c r="K38" s="4" t="n"/>
      <c r="L38" s="4" t="n"/>
      <c r="M38" s="4" t="n"/>
      <c r="N38" s="4" t="n">
        <v>10</v>
      </c>
      <c r="O38" s="4" t="n"/>
      <c r="P38" s="4" t="n"/>
      <c r="Q38" s="4" t="n"/>
      <c r="R38" s="4" t="inlineStr">
        <is>
          <t>Unknown</t>
        </is>
      </c>
      <c r="S38" s="4" t="inlineStr">
        <is>
          <t>EN-EC-035</t>
        </is>
      </c>
      <c r="T38" s="4" t="n"/>
      <c r="U38" s="4" t="inlineStr">
        <is>
          <t>Seed term. Validate country-specific search volume, KD and SERP intent in GSC / Keyword Planner before final prioritization.</t>
        </is>
      </c>
    </row>
    <row r="39">
      <c r="A39" s="4" t="inlineStr">
        <is>
          <t>EN-KW-036</t>
        </is>
      </c>
      <c r="B39" s="4" t="inlineStr">
        <is>
          <t>G-code security</t>
        </is>
      </c>
      <c r="C39" s="4" t="inlineStr">
        <is>
          <t>Security &amp; Backup</t>
        </is>
      </c>
      <c r="D39" s="4" t="inlineStr">
        <is>
          <t>secure G-code files, NC program security, protect CNC programs, G-code access control</t>
        </is>
      </c>
      <c r="E39" s="4" t="inlineStr">
        <is>
          <t>Informational</t>
        </is>
      </c>
      <c r="F39" s="4" t="inlineStr">
        <is>
          <t>Awareness</t>
        </is>
      </c>
      <c r="G39" s="4" t="inlineStr">
        <is>
          <t>Comprehensive Guide</t>
        </is>
      </c>
      <c r="H39" s="4" t="inlineStr">
        <is>
          <t>/en/software</t>
        </is>
      </c>
      <c r="I39" s="4" t="inlineStr">
        <is>
          <t>Medium</t>
        </is>
      </c>
      <c r="J39" s="4" t="inlineStr">
        <is>
          <t>https://www.cimco.com/documentation/documents/cimco_nc-base/brochures/en/cimco-nc-base-brochure-en.pdf</t>
        </is>
      </c>
      <c r="K39" s="4" t="n"/>
      <c r="L39" s="4" t="n"/>
      <c r="M39" s="4" t="n"/>
      <c r="N39" s="4" t="n">
        <v>10</v>
      </c>
      <c r="O39" s="4" t="n"/>
      <c r="P39" s="4" t="n"/>
      <c r="Q39" s="4" t="n"/>
      <c r="R39" s="4" t="inlineStr">
        <is>
          <t>Unknown</t>
        </is>
      </c>
      <c r="S39" s="4" t="inlineStr">
        <is>
          <t>EN-EC-036</t>
        </is>
      </c>
      <c r="T39" s="4" t="n"/>
      <c r="U39" s="4" t="inlineStr">
        <is>
          <t>Seed term. Validate country-specific search volume, KD and SERP intent in GSC / Keyword Planner before final prioritization.</t>
        </is>
      </c>
    </row>
    <row r="40">
      <c r="A40" s="4" t="inlineStr">
        <is>
          <t>EN-KW-037</t>
        </is>
      </c>
      <c r="B40" s="4" t="inlineStr">
        <is>
          <t>USB security for CNC machines</t>
        </is>
      </c>
      <c r="C40" s="4" t="inlineStr">
        <is>
          <t>Security &amp; Backup</t>
        </is>
      </c>
      <c r="D40" s="4" t="inlineStr">
        <is>
          <t>USB malware CNC, remove USB from CNC shop, secure CNC file transfer, CNC flash drive risk</t>
        </is>
      </c>
      <c r="E40" s="4" t="inlineStr">
        <is>
          <t>Informational/Commercial</t>
        </is>
      </c>
      <c r="F40" s="4" t="inlineStr">
        <is>
          <t>Consideration</t>
        </is>
      </c>
      <c r="G40" s="4" t="inlineStr">
        <is>
          <t>Industrial Use Case</t>
        </is>
      </c>
      <c r="H40" s="4" t="inlineStr">
        <is>
          <t>/en/product</t>
        </is>
      </c>
      <c r="I40" s="4" t="inlineStr">
        <is>
          <t>High</t>
        </is>
      </c>
      <c r="J40" s="4" t="inlineStr">
        <is>
          <t>https://www.cimco.com/software/cimco-dnc-max/</t>
        </is>
      </c>
      <c r="K40" s="4" t="n"/>
      <c r="L40" s="4" t="n"/>
      <c r="M40" s="4" t="n"/>
      <c r="N40" s="4" t="n">
        <v>10</v>
      </c>
      <c r="O40" s="4" t="n"/>
      <c r="P40" s="4" t="n"/>
      <c r="Q40" s="4" t="n"/>
      <c r="R40" s="4" t="inlineStr">
        <is>
          <t>Unknown</t>
        </is>
      </c>
      <c r="S40" s="4" t="inlineStr">
        <is>
          <t>EN-EC-037</t>
        </is>
      </c>
      <c r="T40" s="4" t="n"/>
      <c r="U40" s="4" t="inlineStr">
        <is>
          <t>Seed term. Validate country-specific search volume, KD and SERP intent in GSC / Keyword Planner before final prioritization.</t>
        </is>
      </c>
    </row>
    <row r="41">
      <c r="A41" s="4" t="inlineStr">
        <is>
          <t>EN-KW-038</t>
        </is>
      </c>
      <c r="B41" s="4" t="inlineStr">
        <is>
          <t>CNC machine monitoring</t>
        </is>
      </c>
      <c r="C41" s="4" t="inlineStr">
        <is>
          <t>Software &amp; Monitoring</t>
        </is>
      </c>
      <c r="D41" s="4" t="inlineStr">
        <is>
          <t>CNC monitoring, machine status monitoring, real-time CNC monitoring, shop floor monitoring</t>
        </is>
      </c>
      <c r="E41" s="4" t="inlineStr">
        <is>
          <t>Informational</t>
        </is>
      </c>
      <c r="F41" s="4" t="inlineStr">
        <is>
          <t>Awareness</t>
        </is>
      </c>
      <c r="G41" s="4" t="inlineStr">
        <is>
          <t>Industrial Use Case</t>
        </is>
      </c>
      <c r="H41" s="4" t="inlineStr">
        <is>
          <t>/en/software</t>
        </is>
      </c>
      <c r="I41" s="4" t="inlineStr">
        <is>
          <t>Very High</t>
        </is>
      </c>
      <c r="J41" s="4" t="inlineStr">
        <is>
          <t>https://www.fanucamerica.com/products/software/mt-connect-server</t>
        </is>
      </c>
      <c r="K41" s="4" t="n"/>
      <c r="L41" s="4" t="n"/>
      <c r="M41" s="4" t="n"/>
      <c r="N41" s="4" t="n">
        <v>10</v>
      </c>
      <c r="O41" s="4" t="n"/>
      <c r="P41" s="4" t="n"/>
      <c r="Q41" s="4" t="n"/>
      <c r="R41" s="4" t="inlineStr">
        <is>
          <t>Unknown</t>
        </is>
      </c>
      <c r="S41" s="4" t="inlineStr">
        <is>
          <t>EN-EC-038</t>
        </is>
      </c>
      <c r="T41" s="4" t="n"/>
      <c r="U41" s="4" t="inlineStr">
        <is>
          <t>Seed term. Validate country-specific search volume, KD and SERP intent in GSC / Keyword Planner before final prioritization.</t>
        </is>
      </c>
    </row>
    <row r="42">
      <c r="A42" s="4" t="inlineStr">
        <is>
          <t>EN-KW-039</t>
        </is>
      </c>
      <c r="B42" s="4" t="inlineStr">
        <is>
          <t>CNC machine monitoring software</t>
        </is>
      </c>
      <c r="C42" s="4" t="inlineStr">
        <is>
          <t>Software &amp; Monitoring</t>
        </is>
      </c>
      <c r="D42" s="4" t="inlineStr">
        <is>
          <t>machine monitoring software, CNC dashboard software, CNC data collection software</t>
        </is>
      </c>
      <c r="E42" s="4" t="inlineStr">
        <is>
          <t>Commercial</t>
        </is>
      </c>
      <c r="F42" s="4" t="inlineStr">
        <is>
          <t>Consideration</t>
        </is>
      </c>
      <c r="G42" s="4" t="inlineStr">
        <is>
          <t>Buyer’s Guide</t>
        </is>
      </c>
      <c r="H42" s="4" t="inlineStr">
        <is>
          <t>/en/software</t>
        </is>
      </c>
      <c r="I42" s="4" t="inlineStr">
        <is>
          <t>Very High</t>
        </is>
      </c>
      <c r="J42" s="4" t="inlineStr">
        <is>
          <t>https://scytec.com/oee-machine-monitoring/</t>
        </is>
      </c>
      <c r="K42" s="4" t="n"/>
      <c r="L42" s="4" t="n"/>
      <c r="M42" s="4" t="n"/>
      <c r="N42" s="4" t="n">
        <v>10</v>
      </c>
      <c r="O42" s="4" t="n"/>
      <c r="P42" s="4" t="n"/>
      <c r="Q42" s="4" t="n"/>
      <c r="R42" s="4" t="inlineStr">
        <is>
          <t>Unknown</t>
        </is>
      </c>
      <c r="S42" s="4" t="inlineStr">
        <is>
          <t>EN-EC-039</t>
        </is>
      </c>
      <c r="T42" s="4" t="n"/>
      <c r="U42" s="4" t="inlineStr">
        <is>
          <t>Seed term. Validate country-specific search volume, KD and SERP intent in GSC / Keyword Planner before final prioritization.</t>
        </is>
      </c>
    </row>
    <row r="43">
      <c r="A43" s="4" t="inlineStr">
        <is>
          <t>EN-KW-040</t>
        </is>
      </c>
      <c r="B43" s="4" t="inlineStr">
        <is>
          <t>CNC production reporting</t>
        </is>
      </c>
      <c r="C43" s="4" t="inlineStr">
        <is>
          <t>Reporting &amp; Productivity</t>
        </is>
      </c>
      <c r="D43" s="4" t="inlineStr">
        <is>
          <t>CNC production reports, machine performance report, CNC shop dashboard, production data CNC</t>
        </is>
      </c>
      <c r="E43" s="4" t="inlineStr">
        <is>
          <t>Informational</t>
        </is>
      </c>
      <c r="F43" s="4" t="inlineStr">
        <is>
          <t>Awareness</t>
        </is>
      </c>
      <c r="G43" s="4" t="inlineStr">
        <is>
          <t>Industrial Use Case</t>
        </is>
      </c>
      <c r="H43" s="4" t="inlineStr">
        <is>
          <t>/en/software</t>
        </is>
      </c>
      <c r="I43" s="4" t="inlineStr">
        <is>
          <t>High</t>
        </is>
      </c>
      <c r="J43" s="4" t="inlineStr">
        <is>
          <t>https://scytec.com/oee-machine-monitoring/</t>
        </is>
      </c>
      <c r="K43" s="4" t="n"/>
      <c r="L43" s="4" t="n"/>
      <c r="M43" s="4" t="n"/>
      <c r="N43" s="4" t="n">
        <v>10</v>
      </c>
      <c r="O43" s="4" t="n"/>
      <c r="P43" s="4" t="n"/>
      <c r="Q43" s="4" t="n"/>
      <c r="R43" s="4" t="inlineStr">
        <is>
          <t>Unknown</t>
        </is>
      </c>
      <c r="S43" s="4" t="inlineStr">
        <is>
          <t>EN-EC-040</t>
        </is>
      </c>
      <c r="T43" s="4" t="n"/>
      <c r="U43" s="4" t="inlineStr">
        <is>
          <t>Seed term. Validate country-specific search volume, KD and SERP intent in GSC / Keyword Planner before final prioritization.</t>
        </is>
      </c>
    </row>
    <row r="44">
      <c r="A44" s="4" t="inlineStr">
        <is>
          <t>EN-KW-041</t>
        </is>
      </c>
      <c r="B44" s="4" t="inlineStr">
        <is>
          <t>CNC downtime tracking</t>
        </is>
      </c>
      <c r="C44" s="4" t="inlineStr">
        <is>
          <t>Reporting &amp; Productivity</t>
        </is>
      </c>
      <c r="D44" s="4" t="inlineStr">
        <is>
          <t>machine downtime tracking, CNC downtime report, downtime reasons, shop floor downtime</t>
        </is>
      </c>
      <c r="E44" s="4" t="inlineStr">
        <is>
          <t>Informational</t>
        </is>
      </c>
      <c r="F44" s="4" t="inlineStr">
        <is>
          <t>Awareness</t>
        </is>
      </c>
      <c r="G44" s="4" t="inlineStr">
        <is>
          <t>Industrial Use Case</t>
        </is>
      </c>
      <c r="H44" s="4" t="inlineStr">
        <is>
          <t>/en/software</t>
        </is>
      </c>
      <c r="I44" s="4" t="inlineStr">
        <is>
          <t>High</t>
        </is>
      </c>
      <c r="J44" s="4" t="inlineStr">
        <is>
          <t>https://scytec.com/oee-machine-monitoring/</t>
        </is>
      </c>
      <c r="K44" s="4" t="n"/>
      <c r="L44" s="4" t="n"/>
      <c r="M44" s="4" t="n"/>
      <c r="N44" s="4" t="n">
        <v>10</v>
      </c>
      <c r="O44" s="4" t="n"/>
      <c r="P44" s="4" t="n"/>
      <c r="Q44" s="4" t="n"/>
      <c r="R44" s="4" t="inlineStr">
        <is>
          <t>Unknown</t>
        </is>
      </c>
      <c r="S44" s="4" t="inlineStr">
        <is>
          <t>EN-EC-041</t>
        </is>
      </c>
      <c r="T44" s="4" t="n"/>
      <c r="U44" s="4" t="inlineStr">
        <is>
          <t>Seed term. Validate country-specific search volume, KD and SERP intent in GSC / Keyword Planner before final prioritization.</t>
        </is>
      </c>
    </row>
    <row r="45">
      <c r="A45" s="4" t="inlineStr">
        <is>
          <t>EN-KW-042</t>
        </is>
      </c>
      <c r="B45" s="4" t="inlineStr">
        <is>
          <t>CNC machine runtime tracking</t>
        </is>
      </c>
      <c r="C45" s="4" t="inlineStr">
        <is>
          <t>Reporting &amp; Productivity</t>
        </is>
      </c>
      <c r="D45" s="4" t="inlineStr">
        <is>
          <t>CNC runtime, machine hours tracking, CNC operating time, machine utilization tracking</t>
        </is>
      </c>
      <c r="E45" s="4" t="inlineStr">
        <is>
          <t>Informational</t>
        </is>
      </c>
      <c r="F45" s="4" t="inlineStr">
        <is>
          <t>Awareness</t>
        </is>
      </c>
      <c r="G45" s="4" t="inlineStr">
        <is>
          <t>Industrial Use Case</t>
        </is>
      </c>
      <c r="H45" s="4" t="inlineStr">
        <is>
          <t>/en/software</t>
        </is>
      </c>
      <c r="I45" s="4" t="inlineStr">
        <is>
          <t>Medium</t>
        </is>
      </c>
      <c r="J45" s="4" t="inlineStr">
        <is>
          <t>https://scytec.com/oee-machine-monitoring/</t>
        </is>
      </c>
      <c r="K45" s="4" t="n"/>
      <c r="L45" s="4" t="n"/>
      <c r="M45" s="4" t="n"/>
      <c r="N45" s="4" t="n">
        <v>10</v>
      </c>
      <c r="O45" s="4" t="n"/>
      <c r="P45" s="4" t="n"/>
      <c r="Q45" s="4" t="n"/>
      <c r="R45" s="4" t="inlineStr">
        <is>
          <t>Unknown</t>
        </is>
      </c>
      <c r="S45" s="4" t="inlineStr">
        <is>
          <t>EN-EC-042</t>
        </is>
      </c>
      <c r="T45" s="4" t="n"/>
      <c r="U45" s="4" t="inlineStr">
        <is>
          <t>Seed term. Validate country-specific search volume, KD and SERP intent in GSC / Keyword Planner before final prioritization.</t>
        </is>
      </c>
    </row>
    <row r="46">
      <c r="A46" s="4" t="inlineStr">
        <is>
          <t>EN-KW-043</t>
        </is>
      </c>
      <c r="B46" s="4" t="inlineStr">
        <is>
          <t>OEE for CNC machines</t>
        </is>
      </c>
      <c r="C46" s="4" t="inlineStr">
        <is>
          <t>Reporting &amp; Productivity</t>
        </is>
      </c>
      <c r="D46" s="4" t="inlineStr">
        <is>
          <t>CNC OEE, overall equipment effectiveness CNC, CNC availability performance quality</t>
        </is>
      </c>
      <c r="E46" s="4" t="inlineStr">
        <is>
          <t>Informational</t>
        </is>
      </c>
      <c r="F46" s="4" t="inlineStr">
        <is>
          <t>Awareness</t>
        </is>
      </c>
      <c r="G46" s="4" t="inlineStr">
        <is>
          <t>Comprehensive Guide</t>
        </is>
      </c>
      <c r="H46" s="4" t="inlineStr">
        <is>
          <t>/en/software</t>
        </is>
      </c>
      <c r="I46" s="4" t="inlineStr">
        <is>
          <t>High</t>
        </is>
      </c>
      <c r="J46" s="4" t="inlineStr">
        <is>
          <t>https://scytec.com/oee-machine-monitoring/</t>
        </is>
      </c>
      <c r="K46" s="4" t="n"/>
      <c r="L46" s="4" t="n"/>
      <c r="M46" s="4" t="n"/>
      <c r="N46" s="4" t="n">
        <v>10</v>
      </c>
      <c r="O46" s="4" t="n"/>
      <c r="P46" s="4" t="n"/>
      <c r="Q46" s="4" t="n"/>
      <c r="R46" s="4" t="inlineStr">
        <is>
          <t>Unknown</t>
        </is>
      </c>
      <c r="S46" s="4" t="inlineStr">
        <is>
          <t>EN-EC-043</t>
        </is>
      </c>
      <c r="T46" s="4" t="n"/>
      <c r="U46" s="4" t="inlineStr">
        <is>
          <t>Seed term. Validate country-specific search volume, KD and SERP intent in GSC / Keyword Planner before final prioritization.</t>
        </is>
      </c>
    </row>
    <row r="47">
      <c r="A47" s="4" t="inlineStr">
        <is>
          <t>EN-KW-044</t>
        </is>
      </c>
      <c r="B47" s="4" t="inlineStr">
        <is>
          <t>CNC machine utilization</t>
        </is>
      </c>
      <c r="C47" s="4" t="inlineStr">
        <is>
          <t>Reporting &amp; Productivity</t>
        </is>
      </c>
      <c r="D47" s="4" t="inlineStr">
        <is>
          <t>CNC utilization rate, machine utilization tracking, spindle utilization, shop capacity</t>
        </is>
      </c>
      <c r="E47" s="4" t="inlineStr">
        <is>
          <t>Informational</t>
        </is>
      </c>
      <c r="F47" s="4" t="inlineStr">
        <is>
          <t>Awareness</t>
        </is>
      </c>
      <c r="G47" s="4" t="inlineStr">
        <is>
          <t>Industrial Use Case</t>
        </is>
      </c>
      <c r="H47" s="4" t="inlineStr">
        <is>
          <t>/en/software</t>
        </is>
      </c>
      <c r="I47" s="4" t="inlineStr">
        <is>
          <t>Medium</t>
        </is>
      </c>
      <c r="J47" s="4" t="inlineStr">
        <is>
          <t>https://scytec.com/oee-machine-monitoring/</t>
        </is>
      </c>
      <c r="K47" s="4" t="n"/>
      <c r="L47" s="4" t="n"/>
      <c r="M47" s="4" t="n"/>
      <c r="N47" s="4" t="n">
        <v>10</v>
      </c>
      <c r="O47" s="4" t="n"/>
      <c r="P47" s="4" t="n"/>
      <c r="Q47" s="4" t="n"/>
      <c r="R47" s="4" t="inlineStr">
        <is>
          <t>Unknown</t>
        </is>
      </c>
      <c r="S47" s="4" t="inlineStr">
        <is>
          <t>EN-EC-044</t>
        </is>
      </c>
      <c r="T47" s="4" t="n"/>
      <c r="U47" s="4" t="inlineStr">
        <is>
          <t>Seed term. Validate country-specific search volume, KD and SERP intent in GSC / Keyword Planner before final prioritization.</t>
        </is>
      </c>
    </row>
    <row r="48">
      <c r="A48" s="4" t="inlineStr">
        <is>
          <t>EN-KW-045</t>
        </is>
      </c>
      <c r="B48" s="4" t="inlineStr">
        <is>
          <t>reduce CNC machine downtime</t>
        </is>
      </c>
      <c r="C48" s="4" t="inlineStr">
        <is>
          <t>Reporting &amp; Productivity</t>
        </is>
      </c>
      <c r="D48" s="4" t="inlineStr">
        <is>
          <t>reduce machine downtime, CNC productivity improvement, prevent CNC idle time</t>
        </is>
      </c>
      <c r="E48" s="4" t="inlineStr">
        <is>
          <t>Informational</t>
        </is>
      </c>
      <c r="F48" s="4" t="inlineStr">
        <is>
          <t>Awareness</t>
        </is>
      </c>
      <c r="G48" s="4" t="inlineStr">
        <is>
          <t>Industrial Use Case</t>
        </is>
      </c>
      <c r="H48" s="4" t="inlineStr">
        <is>
          <t>/en/software</t>
        </is>
      </c>
      <c r="I48" s="4" t="inlineStr">
        <is>
          <t>High</t>
        </is>
      </c>
      <c r="J48" s="4" t="inlineStr">
        <is>
          <t>https://scytec.com/oee-machine-monitoring/</t>
        </is>
      </c>
      <c r="K48" s="4" t="n"/>
      <c r="L48" s="4" t="n"/>
      <c r="M48" s="4" t="n"/>
      <c r="N48" s="4" t="n">
        <v>10</v>
      </c>
      <c r="O48" s="4" t="n"/>
      <c r="P48" s="4" t="n"/>
      <c r="Q48" s="4" t="n"/>
      <c r="R48" s="4" t="inlineStr">
        <is>
          <t>Unknown</t>
        </is>
      </c>
      <c r="S48" s="4" t="inlineStr">
        <is>
          <t>EN-EC-045</t>
        </is>
      </c>
      <c r="T48" s="4" t="n"/>
      <c r="U48" s="4" t="inlineStr">
        <is>
          <t>Seed term. Validate country-specific search volume, KD and SERP intent in GSC / Keyword Planner before final prioritization.</t>
        </is>
      </c>
    </row>
    <row r="49">
      <c r="A49" s="4" t="inlineStr">
        <is>
          <t>EN-KW-046</t>
        </is>
      </c>
      <c r="B49" s="4" t="inlineStr">
        <is>
          <t>CNC downtime causes</t>
        </is>
      </c>
      <c r="C49" s="4" t="inlineStr">
        <is>
          <t>Reporting &amp; Productivity</t>
        </is>
      </c>
      <c r="D49" s="4" t="inlineStr">
        <is>
          <t>reasons for CNC downtime, unplanned CNC downtime, machine idle causes, CNC stoppage</t>
        </is>
      </c>
      <c r="E49" s="4" t="inlineStr">
        <is>
          <t>Informational</t>
        </is>
      </c>
      <c r="F49" s="4" t="inlineStr">
        <is>
          <t>Awareness</t>
        </is>
      </c>
      <c r="G49" s="4" t="inlineStr">
        <is>
          <t>Troubleshooting</t>
        </is>
      </c>
      <c r="H49" s="4" t="inlineStr">
        <is>
          <t>/en/software</t>
        </is>
      </c>
      <c r="I49" s="4" t="inlineStr">
        <is>
          <t>Medium</t>
        </is>
      </c>
      <c r="J49" s="4" t="inlineStr">
        <is>
          <t>https://scytec.com/oee-machine-monitoring/</t>
        </is>
      </c>
      <c r="K49" s="4" t="n"/>
      <c r="L49" s="4" t="n"/>
      <c r="M49" s="4" t="n"/>
      <c r="N49" s="4" t="n">
        <v>10</v>
      </c>
      <c r="O49" s="4" t="n"/>
      <c r="P49" s="4" t="n"/>
      <c r="Q49" s="4" t="n"/>
      <c r="R49" s="4" t="inlineStr">
        <is>
          <t>Unknown</t>
        </is>
      </c>
      <c r="S49" s="4" t="inlineStr">
        <is>
          <t>EN-EC-046</t>
        </is>
      </c>
      <c r="T49" s="4" t="n"/>
      <c r="U49" s="4" t="inlineStr">
        <is>
          <t>Seed term. Validate country-specific search volume, KD and SERP intent in GSC / Keyword Planner before final prioritization.</t>
        </is>
      </c>
    </row>
    <row r="50">
      <c r="A50" s="4" t="inlineStr">
        <is>
          <t>EN-KW-047</t>
        </is>
      </c>
      <c r="B50" s="4" t="inlineStr">
        <is>
          <t>cost of CNC downtime</t>
        </is>
      </c>
      <c r="C50" s="4" t="inlineStr">
        <is>
          <t>Production Economics</t>
        </is>
      </c>
      <c r="D50" s="4" t="inlineStr">
        <is>
          <t>CNC downtime cost, cost of machine idle time, lost production cost, machining downtime</t>
        </is>
      </c>
      <c r="E50" s="4" t="inlineStr">
        <is>
          <t>Informational</t>
        </is>
      </c>
      <c r="F50" s="4" t="inlineStr">
        <is>
          <t>Awareness</t>
        </is>
      </c>
      <c r="G50" s="4" t="inlineStr">
        <is>
          <t>Industrial Use Case</t>
        </is>
      </c>
      <c r="H50" s="4" t="inlineStr">
        <is>
          <t>/en/software</t>
        </is>
      </c>
      <c r="I50" s="4" t="inlineStr">
        <is>
          <t>High</t>
        </is>
      </c>
      <c r="J50" s="4" t="inlineStr">
        <is>
          <t>https://scytec.com/oee-machine-monitoring/</t>
        </is>
      </c>
      <c r="K50" s="4" t="n"/>
      <c r="L50" s="4" t="n"/>
      <c r="M50" s="4" t="n"/>
      <c r="N50" s="4" t="n">
        <v>10</v>
      </c>
      <c r="O50" s="4" t="n"/>
      <c r="P50" s="4" t="n"/>
      <c r="Q50" s="4" t="n"/>
      <c r="R50" s="4" t="inlineStr">
        <is>
          <t>Unknown</t>
        </is>
      </c>
      <c r="S50" s="4" t="inlineStr">
        <is>
          <t>EN-EC-047</t>
        </is>
      </c>
      <c r="T50" s="4" t="n"/>
      <c r="U50" s="4" t="inlineStr">
        <is>
          <t>Seed term. Validate country-specific search volume, KD and SERP intent in GSC / Keyword Planner before final prioritization.</t>
        </is>
      </c>
    </row>
    <row r="51">
      <c r="A51" s="4" t="inlineStr">
        <is>
          <t>EN-KW-048</t>
        </is>
      </c>
      <c r="B51" s="4" t="inlineStr">
        <is>
          <t>CNC machine management software</t>
        </is>
      </c>
      <c r="C51" s="4" t="inlineStr">
        <is>
          <t>Software &amp; Monitoring</t>
        </is>
      </c>
      <c r="D51" s="4" t="inlineStr">
        <is>
          <t>CNC management software, shop floor CNC software, CNC production management, DNC monitoring software</t>
        </is>
      </c>
      <c r="E51" s="4" t="inlineStr">
        <is>
          <t>Commercial</t>
        </is>
      </c>
      <c r="F51" s="4" t="inlineStr">
        <is>
          <t>Consideration</t>
        </is>
      </c>
      <c r="G51" s="4" t="inlineStr">
        <is>
          <t>Buyer’s Guide</t>
        </is>
      </c>
      <c r="H51" s="4" t="inlineStr">
        <is>
          <t>/en/software</t>
        </is>
      </c>
      <c r="I51" s="4" t="inlineStr">
        <is>
          <t>High</t>
        </is>
      </c>
      <c r="J51" s="4" t="inlineStr">
        <is>
          <t>https://www.cimco.com/documentation/documents/cimco_nc-base/brochures/en/cimco-nc-base-brochure-en.pdf</t>
        </is>
      </c>
      <c r="K51" s="4" t="n"/>
      <c r="L51" s="4" t="n"/>
      <c r="M51" s="4" t="n"/>
      <c r="N51" s="4" t="n">
        <v>10</v>
      </c>
      <c r="O51" s="4" t="n"/>
      <c r="P51" s="4" t="n"/>
      <c r="Q51" s="4" t="n"/>
      <c r="R51" s="4" t="inlineStr">
        <is>
          <t>Unknown</t>
        </is>
      </c>
      <c r="S51" s="4" t="inlineStr">
        <is>
          <t>EN-EC-048</t>
        </is>
      </c>
      <c r="T51" s="4" t="n"/>
      <c r="U51" s="4" t="inlineStr">
        <is>
          <t>Seed term. Validate country-specific search volume, KD and SERP intent in GSC / Keyword Planner before final prioritization.</t>
        </is>
      </c>
    </row>
    <row r="52">
      <c r="A52" s="4" t="inlineStr">
        <is>
          <t>EN-KW-049</t>
        </is>
      </c>
      <c r="B52" s="4" t="inlineStr">
        <is>
          <t>manage multiple CNC machines</t>
        </is>
      </c>
      <c r="C52" s="4" t="inlineStr">
        <is>
          <t>Program Management</t>
        </is>
      </c>
      <c r="D52" s="4" t="inlineStr">
        <is>
          <t>multi-machine CNC management, centralized DNC, manage CNC files across machines, CNC fleet management</t>
        </is>
      </c>
      <c r="E52" s="4" t="inlineStr">
        <is>
          <t>Informational/Commercial</t>
        </is>
      </c>
      <c r="F52" s="4" t="inlineStr">
        <is>
          <t>Consideration</t>
        </is>
      </c>
      <c r="G52" s="4" t="inlineStr">
        <is>
          <t>Industrial Use Case</t>
        </is>
      </c>
      <c r="H52" s="4" t="inlineStr">
        <is>
          <t>/en/software</t>
        </is>
      </c>
      <c r="I52" s="4" t="inlineStr">
        <is>
          <t>High</t>
        </is>
      </c>
      <c r="J52" s="4" t="inlineStr">
        <is>
          <t>https://www.cimco.com/software/cimco-dnc-max/</t>
        </is>
      </c>
      <c r="K52" s="4" t="n"/>
      <c r="L52" s="4" t="n"/>
      <c r="M52" s="4" t="n"/>
      <c r="N52" s="4" t="n">
        <v>10</v>
      </c>
      <c r="O52" s="4" t="n"/>
      <c r="P52" s="4" t="n"/>
      <c r="Q52" s="4" t="n"/>
      <c r="R52" s="4" t="inlineStr">
        <is>
          <t>Unknown</t>
        </is>
      </c>
      <c r="S52" s="4" t="inlineStr">
        <is>
          <t>EN-EC-049</t>
        </is>
      </c>
      <c r="T52" s="4" t="n"/>
      <c r="U52" s="4" t="inlineStr">
        <is>
          <t>Seed term. Validate country-specific search volume, KD and SERP intent in GSC / Keyword Planner before final prioritization.</t>
        </is>
      </c>
    </row>
    <row r="53">
      <c r="A53" s="4" t="inlineStr">
        <is>
          <t>EN-KW-050</t>
        </is>
      </c>
      <c r="B53" s="4" t="inlineStr">
        <is>
          <t>legacy CNC network retrofit</t>
        </is>
      </c>
      <c r="C53" s="4" t="inlineStr">
        <is>
          <t>Digital Transformation</t>
        </is>
      </c>
      <c r="D53" s="4" t="inlineStr">
        <is>
          <t>connect old CNC to network, legacy CNC connectivity, CNC retrofit networking, old CNC DNC</t>
        </is>
      </c>
      <c r="E53" s="4" t="inlineStr">
        <is>
          <t>Commercial</t>
        </is>
      </c>
      <c r="F53" s="4" t="inlineStr">
        <is>
          <t>Consideration</t>
        </is>
      </c>
      <c r="G53" s="4" t="inlineStr">
        <is>
          <t>Buyer’s Guide</t>
        </is>
      </c>
      <c r="H53" s="4" t="inlineStr">
        <is>
          <t>/en/product</t>
        </is>
      </c>
      <c r="I53" s="4" t="inlineStr">
        <is>
          <t>Very High</t>
        </is>
      </c>
      <c r="J53" s="4" t="inlineStr">
        <is>
          <t>https://www.cimco.com/software/cimco-dnc-max/</t>
        </is>
      </c>
      <c r="K53" s="4" t="n"/>
      <c r="L53" s="4" t="n"/>
      <c r="M53" s="4" t="n"/>
      <c r="N53" s="4" t="n">
        <v>10</v>
      </c>
      <c r="O53" s="4" t="n"/>
      <c r="P53" s="4" t="n"/>
      <c r="Q53" s="4" t="n"/>
      <c r="R53" s="4" t="inlineStr">
        <is>
          <t>Unknown</t>
        </is>
      </c>
      <c r="S53" s="4" t="inlineStr">
        <is>
          <t>EN-EC-050</t>
        </is>
      </c>
      <c r="T53" s="4" t="n"/>
      <c r="U53" s="4" t="inlineStr">
        <is>
          <t>Seed term. Validate country-specific search volume, KD and SERP intent in GSC / Keyword Planner before final prioritization.</t>
        </is>
      </c>
    </row>
    <row r="54">
      <c r="A54" s="4" t="inlineStr">
        <is>
          <t>EN-KW-051</t>
        </is>
      </c>
      <c r="B54" s="4" t="inlineStr">
        <is>
          <t>RS232 to Ethernet CNC</t>
        </is>
      </c>
      <c r="C54" s="4" t="inlineStr">
        <is>
          <t>Industrial Networking</t>
        </is>
      </c>
      <c r="D54" s="4" t="inlineStr">
        <is>
          <t>RS232 Ethernet converter CNC, serial to Ethernet CNC, CNC serial device server, DNC Ethernet gateway</t>
        </is>
      </c>
      <c r="E54" s="4" t="inlineStr">
        <is>
          <t>Commercial</t>
        </is>
      </c>
      <c r="F54" s="4" t="inlineStr">
        <is>
          <t>Consideration</t>
        </is>
      </c>
      <c r="G54" s="4" t="inlineStr">
        <is>
          <t>Technical Tutorial</t>
        </is>
      </c>
      <c r="H54" s="4" t="inlineStr">
        <is>
          <t>/en/product</t>
        </is>
      </c>
      <c r="I54" s="4" t="inlineStr">
        <is>
          <t>High</t>
        </is>
      </c>
      <c r="J54" s="4" t="inlineStr">
        <is>
          <t>https://www.cimco.com/software/cimco-dnc-max/</t>
        </is>
      </c>
      <c r="K54" s="4" t="n"/>
      <c r="L54" s="4" t="n"/>
      <c r="M54" s="4" t="n"/>
      <c r="N54" s="4" t="n">
        <v>10</v>
      </c>
      <c r="O54" s="4" t="n"/>
      <c r="P54" s="4" t="n"/>
      <c r="Q54" s="4" t="n"/>
      <c r="R54" s="4" t="inlineStr">
        <is>
          <t>Unknown</t>
        </is>
      </c>
      <c r="S54" s="4" t="inlineStr">
        <is>
          <t>EN-EC-051</t>
        </is>
      </c>
      <c r="T54" s="4" t="n"/>
      <c r="U54" s="4" t="inlineStr">
        <is>
          <t>Seed term. Validate country-specific search volume, KD and SERP intent in GSC / Keyword Planner before final prioritization.</t>
        </is>
      </c>
    </row>
    <row r="55">
      <c r="A55" s="4" t="inlineStr">
        <is>
          <t>EN-KW-052</t>
        </is>
      </c>
      <c r="B55" s="4" t="inlineStr">
        <is>
          <t>IIoT for CNC machines</t>
        </is>
      </c>
      <c r="C55" s="4" t="inlineStr">
        <is>
          <t>Digital Transformation</t>
        </is>
      </c>
      <c r="D55" s="4" t="inlineStr">
        <is>
          <t>industrial IoT CNC, connected CNC machines, CNC data collection, legacy machine IIoT</t>
        </is>
      </c>
      <c r="E55" s="4" t="inlineStr">
        <is>
          <t>Informational</t>
        </is>
      </c>
      <c r="F55" s="4" t="inlineStr">
        <is>
          <t>Awareness</t>
        </is>
      </c>
      <c r="G55" s="4" t="inlineStr">
        <is>
          <t>Comprehensive Guide</t>
        </is>
      </c>
      <c r="H55" s="4" t="inlineStr">
        <is>
          <t>/en/product</t>
        </is>
      </c>
      <c r="I55" s="4" t="inlineStr">
        <is>
          <t>Medium</t>
        </is>
      </c>
      <c r="J55" s="4" t="inlineStr">
        <is>
          <t>https://www.fanucamerica.com/products/software/mt-connect-server</t>
        </is>
      </c>
      <c r="K55" s="4" t="n"/>
      <c r="L55" s="4" t="n"/>
      <c r="M55" s="4" t="n"/>
      <c r="N55" s="4" t="n">
        <v>10</v>
      </c>
      <c r="O55" s="4" t="n"/>
      <c r="P55" s="4" t="n"/>
      <c r="Q55" s="4" t="n"/>
      <c r="R55" s="4" t="inlineStr">
        <is>
          <t>Unknown</t>
        </is>
      </c>
      <c r="S55" s="4" t="inlineStr">
        <is>
          <t>EN-EC-052</t>
        </is>
      </c>
      <c r="T55" s="4" t="n"/>
      <c r="U55" s="4" t="inlineStr">
        <is>
          <t>Seed term. Validate country-specific search volume, KD and SERP intent in GSC / Keyword Planner before final prioritization.</t>
        </is>
      </c>
    </row>
    <row r="56">
      <c r="A56" s="4" t="inlineStr">
        <is>
          <t>EN-KW-053</t>
        </is>
      </c>
      <c r="B56" s="4" t="inlineStr">
        <is>
          <t>Industry 4.0 CNC machining</t>
        </is>
      </c>
      <c r="C56" s="4" t="inlineStr">
        <is>
          <t>Digital Transformation</t>
        </is>
      </c>
      <c r="D56" s="4" t="inlineStr">
        <is>
          <t>Industry 4.0 CNC, smart machining, connected machine shop, manufacturing data CNC</t>
        </is>
      </c>
      <c r="E56" s="4" t="inlineStr">
        <is>
          <t>Informational</t>
        </is>
      </c>
      <c r="F56" s="4" t="inlineStr">
        <is>
          <t>Awareness</t>
        </is>
      </c>
      <c r="G56" s="4" t="inlineStr">
        <is>
          <t>Industrial Use Case</t>
        </is>
      </c>
      <c r="H56" s="4" t="inlineStr">
        <is>
          <t>/en/product</t>
        </is>
      </c>
      <c r="I56" s="4" t="inlineStr">
        <is>
          <t>Medium</t>
        </is>
      </c>
      <c r="J56" s="4" t="inlineStr">
        <is>
          <t>https://www.fanucamerica.com/products/software/mt-connect-server</t>
        </is>
      </c>
      <c r="K56" s="4" t="n"/>
      <c r="L56" s="4" t="n"/>
      <c r="M56" s="4" t="n"/>
      <c r="N56" s="4" t="n">
        <v>10</v>
      </c>
      <c r="O56" s="4" t="n"/>
      <c r="P56" s="4" t="n"/>
      <c r="Q56" s="4" t="n"/>
      <c r="R56" s="4" t="inlineStr">
        <is>
          <t>Unknown</t>
        </is>
      </c>
      <c r="S56" s="4" t="inlineStr">
        <is>
          <t>EN-EC-053</t>
        </is>
      </c>
      <c r="T56" s="4" t="n"/>
      <c r="U56" s="4" t="inlineStr">
        <is>
          <t>Seed term. Validate country-specific search volume, KD and SERP intent in GSC / Keyword Planner before final prioritization.</t>
        </is>
      </c>
    </row>
    <row r="57">
      <c r="A57" s="4" t="inlineStr">
        <is>
          <t>EN-KW-054</t>
        </is>
      </c>
      <c r="B57" s="4" t="inlineStr">
        <is>
          <t>CNC shop digitalization</t>
        </is>
      </c>
      <c r="C57" s="4" t="inlineStr">
        <is>
          <t>Digital Transformation</t>
        </is>
      </c>
      <c r="D57" s="4" t="inlineStr">
        <is>
          <t>digital CNC shop, CNC digital transformation, paperless CNC shop, connected shop floor</t>
        </is>
      </c>
      <c r="E57" s="4" t="inlineStr">
        <is>
          <t>Informational</t>
        </is>
      </c>
      <c r="F57" s="4" t="inlineStr">
        <is>
          <t>Awareness</t>
        </is>
      </c>
      <c r="G57" s="4" t="inlineStr">
        <is>
          <t>Industrial Use Case</t>
        </is>
      </c>
      <c r="H57" s="4" t="inlineStr">
        <is>
          <t>/en/product</t>
        </is>
      </c>
      <c r="I57" s="4" t="inlineStr">
        <is>
          <t>High</t>
        </is>
      </c>
      <c r="J57" s="4" t="inlineStr">
        <is>
          <t>https://www.cimco.com/software/cimco-dnc-max/</t>
        </is>
      </c>
      <c r="K57" s="4" t="n"/>
      <c r="L57" s="4" t="n"/>
      <c r="M57" s="4" t="n"/>
      <c r="N57" s="4" t="n">
        <v>10</v>
      </c>
      <c r="O57" s="4" t="n"/>
      <c r="P57" s="4" t="n"/>
      <c r="Q57" s="4" t="n"/>
      <c r="R57" s="4" t="inlineStr">
        <is>
          <t>Unknown</t>
        </is>
      </c>
      <c r="S57" s="4" t="inlineStr">
        <is>
          <t>EN-EC-054</t>
        </is>
      </c>
      <c r="T57" s="4" t="n"/>
      <c r="U57" s="4" t="inlineStr">
        <is>
          <t>Seed term. Validate country-specific search volume, KD and SERP intent in GSC / Keyword Planner before final prioritization.</t>
        </is>
      </c>
    </row>
    <row r="58">
      <c r="A58" s="4" t="inlineStr">
        <is>
          <t>EN-KW-055</t>
        </is>
      </c>
      <c r="B58" s="4" t="inlineStr">
        <is>
          <t>drip feed CNC</t>
        </is>
      </c>
      <c r="C58" s="4" t="inlineStr">
        <is>
          <t>CNC File Transfer &amp; DNC</t>
        </is>
      </c>
      <c r="D58" s="4" t="inlineStr">
        <is>
          <t>CNC drip feed, run large CNC program, DNC mode CNC, drip feed G-code</t>
        </is>
      </c>
      <c r="E58" s="4" t="inlineStr">
        <is>
          <t>Informational</t>
        </is>
      </c>
      <c r="F58" s="4" t="inlineStr">
        <is>
          <t>Awareness</t>
        </is>
      </c>
      <c r="G58" s="4" t="inlineStr">
        <is>
          <t>Comprehensive Guide</t>
        </is>
      </c>
      <c r="H58" s="4" t="inlineStr">
        <is>
          <t>/en/product</t>
        </is>
      </c>
      <c r="I58" s="4" t="inlineStr">
        <is>
          <t>High</t>
        </is>
      </c>
      <c r="J58" s="4" t="inlineStr">
        <is>
          <t>https://www.cimco.com/software/cimco-dnc-max/</t>
        </is>
      </c>
      <c r="K58" s="4" t="n"/>
      <c r="L58" s="4" t="n"/>
      <c r="M58" s="4" t="n"/>
      <c r="N58" s="4" t="n">
        <v>10</v>
      </c>
      <c r="O58" s="4" t="n"/>
      <c r="P58" s="4" t="n"/>
      <c r="Q58" s="4" t="n"/>
      <c r="R58" s="4" t="inlineStr">
        <is>
          <t>Unknown</t>
        </is>
      </c>
      <c r="S58" s="4" t="inlineStr">
        <is>
          <t>EN-EC-055</t>
        </is>
      </c>
      <c r="T58" s="4" t="n"/>
      <c r="U58" s="4" t="inlineStr">
        <is>
          <t>Seed term. Validate country-specific search volume, KD and SERP intent in GSC / Keyword Planner before final prioritization.</t>
        </is>
      </c>
    </row>
    <row r="59">
      <c r="A59" s="4" t="inlineStr">
        <is>
          <t>EN-KW-056</t>
        </is>
      </c>
      <c r="B59" s="4" t="inlineStr">
        <is>
          <t>DNC drip feed</t>
        </is>
      </c>
      <c r="C59" s="4" t="inlineStr">
        <is>
          <t>CNC File Transfer &amp; DNC</t>
        </is>
      </c>
      <c r="D59" s="4" t="inlineStr">
        <is>
          <t>DNC drip feeding, drip feed software, serial drip feed CNC, large program DNC</t>
        </is>
      </c>
      <c r="E59" s="4" t="inlineStr">
        <is>
          <t>Informational</t>
        </is>
      </c>
      <c r="F59" s="4" t="inlineStr">
        <is>
          <t>Awareness</t>
        </is>
      </c>
      <c r="G59" s="4" t="inlineStr">
        <is>
          <t>Technical Tutorial</t>
        </is>
      </c>
      <c r="H59" s="4" t="inlineStr">
        <is>
          <t>/en/product</t>
        </is>
      </c>
      <c r="I59" s="4" t="inlineStr">
        <is>
          <t>High</t>
        </is>
      </c>
      <c r="J59" s="4" t="inlineStr">
        <is>
          <t>https://www.cimco.com/software/cimco-dnc-max/</t>
        </is>
      </c>
      <c r="K59" s="4" t="n"/>
      <c r="L59" s="4" t="n"/>
      <c r="M59" s="4" t="n"/>
      <c r="N59" s="4" t="n">
        <v>10</v>
      </c>
      <c r="O59" s="4" t="n"/>
      <c r="P59" s="4" t="n"/>
      <c r="Q59" s="4" t="n"/>
      <c r="R59" s="4" t="inlineStr">
        <is>
          <t>Unknown</t>
        </is>
      </c>
      <c r="S59" s="4" t="inlineStr">
        <is>
          <t>EN-EC-056</t>
        </is>
      </c>
      <c r="T59" s="4" t="n"/>
      <c r="U59" s="4" t="inlineStr">
        <is>
          <t>Seed term. Validate country-specific search volume, KD and SERP intent in GSC / Keyword Planner before final prioritization.</t>
        </is>
      </c>
    </row>
    <row r="60">
      <c r="A60" s="4" t="inlineStr">
        <is>
          <t>EN-KW-057</t>
        </is>
      </c>
      <c r="B60" s="4" t="inlineStr">
        <is>
          <t>DNC vs USB file transfer</t>
        </is>
      </c>
      <c r="C60" s="4" t="inlineStr">
        <is>
          <t>Comparison &amp; Selection</t>
        </is>
      </c>
      <c r="D60" s="4" t="inlineStr">
        <is>
          <t>DNC vs flash drive, CNC USB vs network, secure CNC transfer, CNC file transfer comparison</t>
        </is>
      </c>
      <c r="E60" s="4" t="inlineStr">
        <is>
          <t>Commercial</t>
        </is>
      </c>
      <c r="F60" s="4" t="inlineStr">
        <is>
          <t>Consideration</t>
        </is>
      </c>
      <c r="G60" s="4" t="inlineStr">
        <is>
          <t>Comparison</t>
        </is>
      </c>
      <c r="H60" s="4" t="inlineStr">
        <is>
          <t>/en/product</t>
        </is>
      </c>
      <c r="I60" s="4" t="inlineStr">
        <is>
          <t>High</t>
        </is>
      </c>
      <c r="J60" s="4" t="inlineStr">
        <is>
          <t>https://www.cimco.com/software/cimco-dnc-max/</t>
        </is>
      </c>
      <c r="K60" s="4" t="n"/>
      <c r="L60" s="4" t="n"/>
      <c r="M60" s="4" t="n"/>
      <c r="N60" s="4" t="n">
        <v>10</v>
      </c>
      <c r="O60" s="4" t="n"/>
      <c r="P60" s="4" t="n"/>
      <c r="Q60" s="4" t="n"/>
      <c r="R60" s="4" t="inlineStr">
        <is>
          <t>Unknown</t>
        </is>
      </c>
      <c r="S60" s="4" t="inlineStr">
        <is>
          <t>EN-EC-057</t>
        </is>
      </c>
      <c r="T60" s="4" t="n"/>
      <c r="U60" s="4" t="inlineStr">
        <is>
          <t>Seed term. Validate country-specific search volume, KD and SERP intent in GSC / Keyword Planner before final prioritization.</t>
        </is>
      </c>
    </row>
    <row r="61">
      <c r="A61" s="4" t="inlineStr">
        <is>
          <t>EN-KW-058</t>
        </is>
      </c>
      <c r="B61" s="4" t="inlineStr">
        <is>
          <t>best way to transfer CNC programs</t>
        </is>
      </c>
      <c r="C61" s="4" t="inlineStr">
        <is>
          <t>Comparison &amp; Selection</t>
        </is>
      </c>
      <c r="D61" s="4" t="inlineStr">
        <is>
          <t>USB vs RS232 vs Ethernet CNC, best CNC file transfer method, DNC vs network CNC</t>
        </is>
      </c>
      <c r="E61" s="4" t="inlineStr">
        <is>
          <t>Commercial</t>
        </is>
      </c>
      <c r="F61" s="4" t="inlineStr">
        <is>
          <t>Consideration</t>
        </is>
      </c>
      <c r="G61" s="4" t="inlineStr">
        <is>
          <t>Comparison</t>
        </is>
      </c>
      <c r="H61" s="4" t="inlineStr">
        <is>
          <t>/en/product</t>
        </is>
      </c>
      <c r="I61" s="4" t="inlineStr">
        <is>
          <t>Very High</t>
        </is>
      </c>
      <c r="J61" s="4" t="inlineStr">
        <is>
          <t>https://www.cimco.com/software/cimco-dnc-max/</t>
        </is>
      </c>
      <c r="K61" s="4" t="n"/>
      <c r="L61" s="4" t="n"/>
      <c r="M61" s="4" t="n"/>
      <c r="N61" s="4" t="n">
        <v>10</v>
      </c>
      <c r="O61" s="4" t="n"/>
      <c r="P61" s="4" t="n"/>
      <c r="Q61" s="4" t="n"/>
      <c r="R61" s="4" t="inlineStr">
        <is>
          <t>Unknown</t>
        </is>
      </c>
      <c r="S61" s="4" t="inlineStr">
        <is>
          <t>EN-EC-058</t>
        </is>
      </c>
      <c r="T61" s="4" t="n"/>
      <c r="U61" s="4" t="inlineStr">
        <is>
          <t>Seed term. Validate country-specific search volume, KD and SERP intent in GSC / Keyword Planner before final prioritization.</t>
        </is>
      </c>
    </row>
    <row r="62">
      <c r="A62" s="4" t="inlineStr">
        <is>
          <t>EN-KW-059</t>
        </is>
      </c>
      <c r="B62" s="4" t="inlineStr">
        <is>
          <t>transfer G-code to CNC machine</t>
        </is>
      </c>
      <c r="C62" s="4" t="inlineStr">
        <is>
          <t>CNC Basics</t>
        </is>
      </c>
      <c r="D62" s="4" t="inlineStr">
        <is>
          <t>send G-code to CNC, upload G-code CNC, transfer NC file to CNC, run G-code on CNC</t>
        </is>
      </c>
      <c r="E62" s="4" t="inlineStr">
        <is>
          <t>Informational</t>
        </is>
      </c>
      <c r="F62" s="4" t="inlineStr">
        <is>
          <t>Awareness</t>
        </is>
      </c>
      <c r="G62" s="4" t="inlineStr">
        <is>
          <t>Technical Tutorial</t>
        </is>
      </c>
      <c r="H62" s="4" t="inlineStr">
        <is>
          <t>/en/product</t>
        </is>
      </c>
      <c r="I62" s="4" t="inlineStr">
        <is>
          <t>High</t>
        </is>
      </c>
      <c r="J62" s="4" t="inlineStr">
        <is>
          <t>https://www.cimco.com/software/cimco-dnc-max/</t>
        </is>
      </c>
      <c r="K62" s="4" t="n"/>
      <c r="L62" s="4" t="n"/>
      <c r="M62" s="4" t="n"/>
      <c r="N62" s="4" t="n">
        <v>10</v>
      </c>
      <c r="O62" s="4" t="n"/>
      <c r="P62" s="4" t="n"/>
      <c r="Q62" s="4" t="n"/>
      <c r="R62" s="4" t="inlineStr">
        <is>
          <t>Unknown</t>
        </is>
      </c>
      <c r="S62" s="4" t="inlineStr">
        <is>
          <t>EN-EC-059</t>
        </is>
      </c>
      <c r="T62" s="4" t="n"/>
      <c r="U62" s="4" t="inlineStr">
        <is>
          <t>Seed term. Validate country-specific search volume, KD and SERP intent in GSC / Keyword Planner before final prioritization.</t>
        </is>
      </c>
    </row>
    <row r="63">
      <c r="A63" s="4" t="inlineStr">
        <is>
          <t>EN-KW-060</t>
        </is>
      </c>
      <c r="B63" s="4" t="inlineStr">
        <is>
          <t>ElecIO Smart DNC</t>
        </is>
      </c>
      <c r="C63" s="4" t="inlineStr">
        <is>
          <t>Brand &amp; Trust</t>
        </is>
      </c>
      <c r="D63" s="4" t="inlineStr">
        <is>
          <t>ElecIO DNC, Smart DNC device, CNC file transfer device, CNC connectivity solution</t>
        </is>
      </c>
      <c r="E63" s="4" t="inlineStr">
        <is>
          <t>Brand/Transactional</t>
        </is>
      </c>
      <c r="F63" s="4" t="inlineStr">
        <is>
          <t>Decision</t>
        </is>
      </c>
      <c r="G63" s="4" t="inlineStr">
        <is>
          <t>Buyer’s Guide</t>
        </is>
      </c>
      <c r="H63" s="4" t="inlineStr">
        <is>
          <t>/en/product</t>
        </is>
      </c>
      <c r="I63" s="4" t="inlineStr">
        <is>
          <t>Very High</t>
        </is>
      </c>
      <c r="J63" s="4" t="inlineStr">
        <is>
          <t>https://elecio.co</t>
        </is>
      </c>
      <c r="K63" s="4" t="n"/>
      <c r="L63" s="4" t="n"/>
      <c r="M63" s="4" t="n"/>
      <c r="N63" s="4" t="n">
        <v>10</v>
      </c>
      <c r="O63" s="4" t="n"/>
      <c r="P63" s="4" t="n"/>
      <c r="Q63" s="4" t="n"/>
      <c r="R63" s="4" t="inlineStr">
        <is>
          <t>Unknown</t>
        </is>
      </c>
      <c r="S63" s="4" t="inlineStr">
        <is>
          <t>EN-EC-060</t>
        </is>
      </c>
      <c r="T63" s="4" t="n"/>
      <c r="U63" s="4" t="inlineStr">
        <is>
          <t>Seed term. Validate country-specific search volume, KD and SERP intent in GSC / Keyword Planner before final prioritization.</t>
        </is>
      </c>
    </row>
  </sheetData>
  <mergeCells count="2">
    <mergeCell ref="A1:U1"/>
    <mergeCell ref="A2:U2"/>
  </mergeCells>
  <conditionalFormatting sqref="I4:I200">
    <cfRule type="expression" priority="1" dxfId="0">
      <formula>I4="Very High"</formula>
    </cfRule>
    <cfRule type="expression" priority="2" dxfId="1">
      <formula>I4="High"</formula>
    </cfRule>
  </conditionalFormatting>
  <dataValidations count="5">
    <dataValidation sqref="E4:E200" showDropDown="0" showInputMessage="0" showErrorMessage="0" allowBlank="0" type="list">
      <formula1>_lists!$C$1:$C$6</formula1>
    </dataValidation>
    <dataValidation sqref="F4:F200" showDropDown="0" showInputMessage="0" showErrorMessage="0" allowBlank="0" type="list">
      <formula1>_lists!$D$1:$D$4</formula1>
    </dataValidation>
    <dataValidation sqref="G4:G200" showDropDown="0" showInputMessage="0" showErrorMessage="0" allowBlank="0" type="list">
      <formula1>_lists!$G$1:$G$7</formula1>
    </dataValidation>
    <dataValidation sqref="I4:I200" showDropDown="0" showInputMessage="0" showErrorMessage="0" allowBlank="0" type="list">
      <formula1>_lists!$B$1:$B$4</formula1>
    </dataValidation>
    <dataValidation sqref="R4:R200" showDropDown="0" showInputMessage="0" showErrorMessage="0" allowBlank="0" type="list">
      <formula1>_lists!$E$1:$E$3</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D200"/>
  <sheetViews>
    <sheetView workbookViewId="0">
      <selection activeCell="A1" sqref="A1"/>
    </sheetView>
  </sheetViews>
  <sheetFormatPr baseColWidth="8" defaultRowHeight="15"/>
  <cols>
    <col width="14" customWidth="1" min="1" max="1"/>
    <col width="10" customWidth="1" min="2" max="2"/>
    <col width="13" customWidth="1" min="3" max="3"/>
    <col width="23" customWidth="1" min="4" max="4"/>
    <col width="42" customWidth="1" min="5" max="5"/>
    <col width="27" customWidth="1" min="6" max="6"/>
    <col width="42" customWidth="1" min="7" max="7"/>
    <col width="20" customWidth="1" min="8" max="8"/>
    <col width="17" customWidth="1" min="9" max="9"/>
    <col width="22" customWidth="1" min="10" max="10"/>
    <col width="42" customWidth="1" min="11" max="11"/>
    <col width="11" customWidth="1" min="12" max="12"/>
    <col width="50" customWidth="1" min="13" max="13"/>
    <col width="11" customWidth="1" min="14" max="14"/>
    <col width="31" customWidth="1" min="15" max="15"/>
    <col width="42" customWidth="1" min="16" max="16"/>
    <col width="48" customWidth="1" min="17" max="17"/>
    <col width="48" customWidth="1" min="18" max="18"/>
    <col width="48" customWidth="1" min="19" max="19"/>
    <col width="23" customWidth="1" min="20" max="20"/>
    <col width="48" customWidth="1" min="21" max="21"/>
    <col width="18" customWidth="1" min="22" max="22"/>
    <col width="14" customWidth="1" min="23" max="23"/>
    <col width="14" customWidth="1" min="24" max="24"/>
    <col width="32" customWidth="1" min="25" max="25"/>
    <col width="18" customWidth="1" min="26" max="26"/>
    <col width="12" customWidth="1" min="27" max="27"/>
    <col width="12" customWidth="1" min="28" max="28"/>
    <col width="16" customWidth="1" min="29" max="29"/>
    <col width="40" customWidth="1" min="30" max="30"/>
  </cols>
  <sheetData>
    <row r="1">
      <c r="A1" s="32" t="inlineStr">
        <is>
          <t>ElecIO English SEO Content Calendar</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row>
    <row r="2">
      <c r="A2" s="33" t="inlineStr">
        <is>
          <t>60 English-market topics mapped across 12 weeks. Dates, owners, status, and real keyword metrics remain editable. All English publication statuses start as “Idea” unless the team confirms an existing live EN page.</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row>
    <row r="3" ht="36" customHeight="1">
      <c r="A3" s="40" t="inlineStr">
        <is>
          <t>Content ID</t>
        </is>
      </c>
      <c r="B3" s="40" t="inlineStr">
        <is>
          <t>Week</t>
        </is>
      </c>
      <c r="C3" s="40" t="inlineStr">
        <is>
          <t>Publish Day</t>
        </is>
      </c>
      <c r="D3" s="40" t="inlineStr">
        <is>
          <t>Cluster</t>
        </is>
      </c>
      <c r="E3" s="40" t="inlineStr">
        <is>
          <t>Article Title</t>
        </is>
      </c>
      <c r="F3" s="40" t="inlineStr">
        <is>
          <t>Primary Keyword</t>
        </is>
      </c>
      <c r="G3" s="40" t="inlineStr">
        <is>
          <t>Secondary Keywords</t>
        </is>
      </c>
      <c r="H3" s="40" t="inlineStr">
        <is>
          <t>Intent</t>
        </is>
      </c>
      <c r="I3" s="40" t="inlineStr">
        <is>
          <t>Funnel Stage</t>
        </is>
      </c>
      <c r="J3" s="40" t="inlineStr">
        <is>
          <t>Format</t>
        </is>
      </c>
      <c r="K3" s="40" t="inlineStr">
        <is>
          <t>SEO Title</t>
        </is>
      </c>
      <c r="L3" s="40" t="inlineStr">
        <is>
          <t>Title Length</t>
        </is>
      </c>
      <c r="M3" s="40" t="inlineStr">
        <is>
          <t>Meta Description</t>
        </is>
      </c>
      <c r="N3" s="40" t="inlineStr">
        <is>
          <t>Meta Length</t>
        </is>
      </c>
      <c r="O3" s="40" t="inlineStr">
        <is>
          <t>Suggested Slug</t>
        </is>
      </c>
      <c r="P3" s="40" t="inlineStr">
        <is>
          <t>H1</t>
        </is>
      </c>
      <c r="Q3" s="40" t="inlineStr">
        <is>
          <t>Suggested H2s</t>
        </is>
      </c>
      <c r="R3" s="40" t="inlineStr">
        <is>
          <t>Internal Links</t>
        </is>
      </c>
      <c r="S3" s="40" t="inlineStr">
        <is>
          <t>Required Source</t>
        </is>
      </c>
      <c r="T3" s="40" t="inlineStr">
        <is>
          <t>CTA</t>
        </is>
      </c>
      <c r="U3" s="40" t="inlineStr">
        <is>
          <t>Content Goal</t>
        </is>
      </c>
      <c r="V3" s="40" t="inlineStr">
        <is>
          <t>Owner</t>
        </is>
      </c>
      <c r="W3" s="40" t="inlineStr">
        <is>
          <t>Brief Date</t>
        </is>
      </c>
      <c r="X3" s="40" t="inlineStr">
        <is>
          <t>Publish Due</t>
        </is>
      </c>
      <c r="Y3" s="40" t="inlineStr">
        <is>
          <t>Published URL</t>
        </is>
      </c>
      <c r="Z3" s="40" t="inlineStr">
        <is>
          <t>Status</t>
        </is>
      </c>
      <c r="AA3" s="40" t="inlineStr">
        <is>
          <t>Priority</t>
        </is>
      </c>
      <c r="AB3" s="40" t="inlineStr">
        <is>
          <t>Progress</t>
        </is>
      </c>
      <c r="AC3" s="40" t="inlineStr">
        <is>
          <t>Last Updated</t>
        </is>
      </c>
      <c r="AD3" s="40" t="inlineStr">
        <is>
          <t>Editor Notes</t>
        </is>
      </c>
    </row>
    <row r="4">
      <c r="A4" s="4" t="inlineStr">
        <is>
          <t>EN-EC-001</t>
        </is>
      </c>
      <c r="B4" s="4" t="inlineStr">
        <is>
          <t>Week 1</t>
        </is>
      </c>
      <c r="C4" s="4" t="inlineStr">
        <is>
          <t>Monday</t>
        </is>
      </c>
      <c r="D4" s="4" t="inlineStr">
        <is>
          <t>CNC File Transfer &amp; DNC</t>
        </is>
      </c>
      <c r="E4" s="4" t="inlineStr">
        <is>
          <t>CNC File Transfer: Methods, Setup, and Common Errors</t>
        </is>
      </c>
      <c r="F4" s="4" t="inlineStr">
        <is>
          <t>CNC file transfer</t>
        </is>
      </c>
      <c r="G4" s="4" t="inlineStr">
        <is>
          <t>CNC program transfer, NC file transfer, transfer files to CNC, CNC networking</t>
        </is>
      </c>
      <c r="H4" s="4" t="inlineStr">
        <is>
          <t>Informational</t>
        </is>
      </c>
      <c r="I4" s="4" t="inlineStr">
        <is>
          <t>Awareness</t>
        </is>
      </c>
      <c r="J4" s="4" t="inlineStr">
        <is>
          <t>Technical Tutorial</t>
        </is>
      </c>
      <c r="K4" s="4" t="inlineStr">
        <is>
          <t>CNC File Transfer: Methods, Setup, and Common Errors</t>
        </is>
      </c>
      <c r="L4" s="4">
        <f>LEN(K4)</f>
        <v/>
      </c>
      <c r="M4" s="4" t="inlineStr">
        <is>
          <t>Learn CNC file transfer: practical methods, setup choices, compatibility checks, common errors, and a safer workflow for CNC program transfer.</t>
        </is>
      </c>
      <c r="N4" s="4">
        <f>LEN(M4)</f>
        <v/>
      </c>
      <c r="O4" s="4" t="inlineStr">
        <is>
          <t>cnc-file-transfer-guide</t>
        </is>
      </c>
      <c r="P4" s="4" t="inlineStr">
        <is>
          <t>CNC File Transfer: Methods, Setup, and Common Errors</t>
        </is>
      </c>
      <c r="Q4" s="4" t="inlineStr">
        <is>
          <t>What is CNC file transfer?
Available methods and technical prerequisites
How the workflow works step by step
Compatibility and controller considerations
Common mistakes and troubleshooting
Security and maintenance recommendations
Practical checklist
Frequently asked questions</t>
        </is>
      </c>
      <c r="R4" s="4" t="inlineStr">
        <is>
          <t>/en/product | Software: /en/software | Contact: /en/contact</t>
        </is>
      </c>
      <c r="S4" s="4" t="inlineStr">
        <is>
          <t>Official controller documentation / ElecIO technical validation | https://www.cimco.com/software/cimco-dnc-max/</t>
        </is>
      </c>
      <c r="T4" s="4" t="inlineStr">
        <is>
          <t>Explore Smart DNC</t>
        </is>
      </c>
      <c r="U4" s="4" t="inlineStr">
        <is>
          <t>Fully answer informational intent and create a natural path toward /en/product.</t>
        </is>
      </c>
      <c r="V4" s="4" t="n"/>
      <c r="W4" s="4" t="n"/>
      <c r="X4" s="69" t="n">
        <v>46247</v>
      </c>
      <c r="Y4" s="4" t="inlineStr">
        <is>
          <t>/en/blog/cnc-file-transfer-guide</t>
        </is>
      </c>
      <c r="Z4" s="4" t="inlineStr">
        <is>
          <t>Published</t>
        </is>
      </c>
      <c r="AA4" s="4" t="inlineStr">
        <is>
          <t>High</t>
        </is>
      </c>
      <c r="AB4" s="70" t="n">
        <v>1</v>
      </c>
      <c r="AC4" s="69" t="n">
        <v>46247</v>
      </c>
      <c r="AD4" s="4" t="inlineStr">
        <is>
          <t>Live, ~3,500 words, TechArticle+FAQPage schema, focus keyword set. Matches this row's planned topic/slug exactly.</t>
        </is>
      </c>
    </row>
    <row r="5">
      <c r="A5" s="4" t="inlineStr">
        <is>
          <t>EN-EC-002</t>
        </is>
      </c>
      <c r="B5" s="4" t="inlineStr">
        <is>
          <t>Week 1</t>
        </is>
      </c>
      <c r="C5" s="4" t="inlineStr">
        <is>
          <t>Tuesday</t>
        </is>
      </c>
      <c r="D5" s="4" t="inlineStr">
        <is>
          <t>CNC File Transfer &amp; DNC</t>
        </is>
      </c>
      <c r="E5" s="4" t="inlineStr">
        <is>
          <t>CNC Program Transfer: How to Move NC Programs Safely and Reliably</t>
        </is>
      </c>
      <c r="F5" s="4" t="inlineStr">
        <is>
          <t>CNC program transfer</t>
        </is>
      </c>
      <c r="G5" s="4" t="inlineStr">
        <is>
          <t>transfer CNC programs, send program to CNC machine, NC program transfer, G-code transfer</t>
        </is>
      </c>
      <c r="H5" s="4" t="inlineStr">
        <is>
          <t>Informational</t>
        </is>
      </c>
      <c r="I5" s="4" t="inlineStr">
        <is>
          <t>Awareness</t>
        </is>
      </c>
      <c r="J5" s="4" t="inlineStr">
        <is>
          <t>Comprehensive Guide</t>
        </is>
      </c>
      <c r="K5" s="4" t="inlineStr">
        <is>
          <t>CNC Program Transfer: How to Move NC Programs Safely and Reliably</t>
        </is>
      </c>
      <c r="L5" s="4">
        <f>LEN(K5)</f>
        <v/>
      </c>
      <c r="M5" s="4" t="inlineStr">
        <is>
          <t>Learn CNC program transfer: practical methods, setup choices, compatibility checks, common errors, and a safer workflow for CNC program transfer.</t>
        </is>
      </c>
      <c r="N5" s="4">
        <f>LEN(M5)</f>
        <v/>
      </c>
      <c r="O5" s="4" t="inlineStr">
        <is>
          <t>cnc-program-transfer</t>
        </is>
      </c>
      <c r="P5" s="4" t="inlineStr">
        <is>
          <t>CNC Program Transfer: How to Move NC Programs Safely and Reliably</t>
        </is>
      </c>
      <c r="Q5" s="4" t="inlineStr">
        <is>
          <t>What is CNC program transfer?
Available methods and technical prerequisites
How the workflow works step by step
Compatibility and controller considerations
Common mistakes and troubleshooting
Security and maintenance recommendations
Practical checklist
Frequently asked questions</t>
        </is>
      </c>
      <c r="R5" s="4" t="inlineStr">
        <is>
          <t>/en/product | Software: /en/software | Contact: /en/contact</t>
        </is>
      </c>
      <c r="S5" s="4" t="inlineStr">
        <is>
          <t>Official controller documentation / ElecIO technical validation | https://www.cimco.com/software/cimco-dnc-max/</t>
        </is>
      </c>
      <c r="T5" s="4" t="inlineStr">
        <is>
          <t>Explore Smart DNC</t>
        </is>
      </c>
      <c r="U5" s="4" t="inlineStr">
        <is>
          <t>Fully answer informational intent and create a natural path toward /en/product.</t>
        </is>
      </c>
      <c r="V5" s="4" t="n"/>
      <c r="W5" s="4" t="n"/>
      <c r="X5" s="4" t="n"/>
      <c r="Y5" s="4" t="n"/>
      <c r="Z5" s="4" t="inlineStr">
        <is>
          <t>Idea</t>
        </is>
      </c>
      <c r="AA5" s="4" t="inlineStr">
        <is>
          <t>High</t>
        </is>
      </c>
      <c r="AB5" s="70" t="n">
        <v>0</v>
      </c>
      <c r="AC5" s="4" t="n"/>
      <c r="AD5" s="4" t="inlineStr">
        <is>
          <t>Not written under this title/slug. A related but distinct topic (Fanuc RS232 settings, FA-originated) is already live bilingually at /en/blog/fanuc-rs232-checklist -- check for overlap before writing this one.</t>
        </is>
      </c>
    </row>
    <row r="6">
      <c r="A6" s="4" t="inlineStr">
        <is>
          <t>EN-EC-003</t>
        </is>
      </c>
      <c r="B6" s="4" t="inlineStr">
        <is>
          <t>Week 1</t>
        </is>
      </c>
      <c r="C6" s="4" t="inlineStr">
        <is>
          <t>Wednesday</t>
        </is>
      </c>
      <c r="D6" s="4" t="inlineStr">
        <is>
          <t>CNC File Transfer &amp; DNC</t>
        </is>
      </c>
      <c r="E6" s="4" t="inlineStr">
        <is>
          <t>CNC Program Transfer Software: Features, Protocols, and Selection Guide</t>
        </is>
      </c>
      <c r="F6" s="4" t="inlineStr">
        <is>
          <t>CNC program transfer software</t>
        </is>
      </c>
      <c r="G6" s="4" t="inlineStr">
        <is>
          <t>CNC file transfer software, DNC transfer software, NC program transfer software</t>
        </is>
      </c>
      <c r="H6" s="4" t="inlineStr">
        <is>
          <t>Commercial</t>
        </is>
      </c>
      <c r="I6" s="4" t="inlineStr">
        <is>
          <t>Consideration</t>
        </is>
      </c>
      <c r="J6" s="4" t="inlineStr">
        <is>
          <t>Buyer’s Guide</t>
        </is>
      </c>
      <c r="K6" s="4" t="inlineStr">
        <is>
          <t>CNC Program Transfer Software: Features, Protocols, and Selection Guide</t>
        </is>
      </c>
      <c r="L6" s="4">
        <f>LEN(K6)</f>
        <v/>
      </c>
      <c r="M6" s="4" t="inlineStr">
        <is>
          <t>Learn CNC program transfer software: practical methods, setup choices, compatibility checks, common errors, and a safer workflow for CNC program transfer.</t>
        </is>
      </c>
      <c r="N6" s="4">
        <f>LEN(M6)</f>
        <v/>
      </c>
      <c r="O6" s="4" t="inlineStr">
        <is>
          <t>cnc-program-transfer-software</t>
        </is>
      </c>
      <c r="P6" s="4" t="inlineStr">
        <is>
          <t>CNC Program Transfer Software: Features, Protocols, and Selection Guide</t>
        </is>
      </c>
      <c r="Q6" s="4" t="inlineStr">
        <is>
          <t>What is CNC program transfer software and where does it fit?
Core features and technical requirements
Controller and communication compatibility
Deployment, maintenance, and scalability
Security, permissions, and program control
Buying checklist and questions to ask
Frequently asked questions</t>
        </is>
      </c>
      <c r="R6" s="4" t="inlineStr">
        <is>
          <t>/en/software | Product page: /en/product | Contact: /en/contact</t>
        </is>
      </c>
      <c r="S6" s="4" t="inlineStr">
        <is>
          <t>Official controller documentation / ElecIO technical validation | https://www.cimco.com/software/cimco-dnc-max/</t>
        </is>
      </c>
      <c r="T6" s="4" t="inlineStr">
        <is>
          <t>Request a demo</t>
        </is>
      </c>
      <c r="U6" s="4" t="inlineStr">
        <is>
          <t>Satisfy consideration-stage intent and move qualified readers naturally toward /en/software.</t>
        </is>
      </c>
      <c r="V6" s="4" t="n"/>
      <c r="W6" s="4" t="n"/>
      <c r="X6" s="4" t="n"/>
      <c r="Y6" s="4" t="n"/>
      <c r="Z6" s="4" t="inlineStr">
        <is>
          <t>Idea</t>
        </is>
      </c>
      <c r="AA6" s="4" t="inlineStr">
        <is>
          <t>High</t>
        </is>
      </c>
      <c r="AB6" s="70" t="n">
        <v>0</v>
      </c>
      <c r="AC6" s="4" t="n"/>
      <c r="AD6" s="4" t="inlineStr">
        <is>
          <t>Not written under this title/slug. A related FA-originated topic (Siemens program transfer) is live at /en/blog/siemens-program-transfer-workflow -- check for overlap before writing this one.</t>
        </is>
      </c>
    </row>
    <row r="7">
      <c r="A7" s="4" t="inlineStr">
        <is>
          <t>EN-EC-004</t>
        </is>
      </c>
      <c r="B7" s="4" t="inlineStr">
        <is>
          <t>Week 1</t>
        </is>
      </c>
      <c r="C7" s="4" t="inlineStr">
        <is>
          <t>Thursday</t>
        </is>
      </c>
      <c r="D7" s="4" t="inlineStr">
        <is>
          <t>CNC File Transfer &amp; DNC</t>
        </is>
      </c>
      <c r="E7" s="4" t="inlineStr">
        <is>
          <t>DNC Software for CNC Machines: What to Look for Before You Choose</t>
        </is>
      </c>
      <c r="F7" s="4" t="inlineStr">
        <is>
          <t>DNC software for CNC machines</t>
        </is>
      </c>
      <c r="G7" s="4" t="inlineStr">
        <is>
          <t>DNC software, CNC DNC software, DNC server, CNC program management software</t>
        </is>
      </c>
      <c r="H7" s="4" t="inlineStr">
        <is>
          <t>Commercial</t>
        </is>
      </c>
      <c r="I7" s="4" t="inlineStr">
        <is>
          <t>Consideration</t>
        </is>
      </c>
      <c r="J7" s="4" t="inlineStr">
        <is>
          <t>Buyer’s Guide</t>
        </is>
      </c>
      <c r="K7" s="4" t="inlineStr">
        <is>
          <t>DNC Software for CNC Machines: What to Look for Before You Choose</t>
        </is>
      </c>
      <c r="L7" s="4">
        <f>LEN(K7)</f>
        <v/>
      </c>
      <c r="M7" s="4" t="inlineStr">
        <is>
          <t>Learn DNC software for CNC machines: practical methods, setup choices, compatibility checks, common errors, and a safer workflow for CNC program transfer.</t>
        </is>
      </c>
      <c r="N7" s="4">
        <f>LEN(M7)</f>
        <v/>
      </c>
      <c r="O7" s="4" t="inlineStr">
        <is>
          <t>dnc-software-for-cnc-machines</t>
        </is>
      </c>
      <c r="P7" s="4" t="inlineStr">
        <is>
          <t>DNC Software for CNC Machines: What to Look for Before You Choose</t>
        </is>
      </c>
      <c r="Q7" s="4" t="inlineStr">
        <is>
          <t>What is DNC software for CNC machines and where does it fit?
Core features and technical requirements
Controller and communication compatibility
Deployment, maintenance, and scalability
Security, permissions, and program control
Buying checklist and questions to ask
Frequently asked questions</t>
        </is>
      </c>
      <c r="R7" s="4" t="inlineStr">
        <is>
          <t>/en/software | Product page: /en/product | Contact: /en/contact</t>
        </is>
      </c>
      <c r="S7" s="4" t="inlineStr">
        <is>
          <t>Official controller documentation / ElecIO technical validation | https://www.cimco.com/software/cimco-dnc-max/</t>
        </is>
      </c>
      <c r="T7" s="4" t="inlineStr">
        <is>
          <t>Request a demo</t>
        </is>
      </c>
      <c r="U7" s="4" t="inlineStr">
        <is>
          <t>Satisfy consideration-stage intent and move qualified readers naturally toward /en/software.</t>
        </is>
      </c>
      <c r="V7" s="4" t="n"/>
      <c r="W7" s="4" t="n"/>
      <c r="X7" s="4" t="n"/>
      <c r="Y7" s="4" t="n"/>
      <c r="Z7" s="4" t="inlineStr">
        <is>
          <t>Idea</t>
        </is>
      </c>
      <c r="AA7" s="4" t="inlineStr">
        <is>
          <t>Very High</t>
        </is>
      </c>
      <c r="AB7" s="70" t="n">
        <v>0</v>
      </c>
      <c r="AC7" s="4" t="n"/>
      <c r="AD7" s="4" t="inlineStr">
        <is>
          <t>Not written. No close FA-originated equivalent yet; safe to prioritize as planned.</t>
        </is>
      </c>
    </row>
    <row r="8">
      <c r="A8" s="4" t="inlineStr">
        <is>
          <t>EN-EC-005</t>
        </is>
      </c>
      <c r="B8" s="4" t="inlineStr">
        <is>
          <t>Week 1</t>
        </is>
      </c>
      <c r="C8" s="4" t="inlineStr">
        <is>
          <t>Friday</t>
        </is>
      </c>
      <c r="D8" s="4" t="inlineStr">
        <is>
          <t>CNC File Transfer &amp; DNC</t>
        </is>
      </c>
      <c r="E8" s="4" t="inlineStr">
        <is>
          <t>What Is DNC? A Practical Guide for CNC Shops</t>
        </is>
      </c>
      <c r="F8" s="4" t="inlineStr">
        <is>
          <t>what is DNC</t>
        </is>
      </c>
      <c r="G8" s="4" t="inlineStr">
        <is>
          <t>DNC system, Direct Numerical Control, CNC DNC, DNC networking</t>
        </is>
      </c>
      <c r="H8" s="4" t="inlineStr">
        <is>
          <t>Informational</t>
        </is>
      </c>
      <c r="I8" s="4" t="inlineStr">
        <is>
          <t>Awareness</t>
        </is>
      </c>
      <c r="J8" s="4" t="inlineStr">
        <is>
          <t>Comprehensive Guide</t>
        </is>
      </c>
      <c r="K8" s="4" t="inlineStr">
        <is>
          <t>What Is DNC? A Practical Guide for CNC Shops</t>
        </is>
      </c>
      <c r="L8" s="4">
        <f>LEN(K8)</f>
        <v/>
      </c>
      <c r="M8" s="4" t="inlineStr">
        <is>
          <t>What is DNC in CNC machining? Learn how DNC transfers and manages NC programs, where it fits, and what to check before deploying it.</t>
        </is>
      </c>
      <c r="N8" s="4">
        <f>LEN(M8)</f>
        <v/>
      </c>
      <c r="O8" s="4" t="inlineStr">
        <is>
          <t>what-is-dnc</t>
        </is>
      </c>
      <c r="P8" s="4" t="inlineStr">
        <is>
          <t>What Is DNC? A Practical Guide for CNC Shops</t>
        </is>
      </c>
      <c r="Q8" s="4" t="inlineStr">
        <is>
          <t>What is DNC in CNC machining?
What problem does a DNC system solve?
DNC software, hardware, and network components
How CNC program transfer works with DNC
DNC vs USB, direct network transfer, and drip feed
Compatibility, security, and deployment considerations
Frequently asked questions</t>
        </is>
      </c>
      <c r="R8" s="4" t="inlineStr">
        <is>
          <t>/en/product | Software: /en/software | Contact: /en/contact</t>
        </is>
      </c>
      <c r="S8" s="4" t="inlineStr">
        <is>
          <t>Official controller documentation / ElecIO technical validation | https://www.cimco.com/software/cimco-dnc-max/</t>
        </is>
      </c>
      <c r="T8" s="4" t="inlineStr">
        <is>
          <t>Explore Smart DNC</t>
        </is>
      </c>
      <c r="U8" s="4" t="inlineStr">
        <is>
          <t>Fully answer informational intent and create a natural path toward /en/product.</t>
        </is>
      </c>
      <c r="V8" s="4" t="n"/>
      <c r="W8" s="4" t="n"/>
      <c r="X8" s="4" t="n"/>
      <c r="Y8" s="4" t="n"/>
      <c r="Z8" s="4" t="inlineStr">
        <is>
          <t>Idea</t>
        </is>
      </c>
      <c r="AA8" s="4" t="inlineStr">
        <is>
          <t>High</t>
        </is>
      </c>
      <c r="AB8" s="70" t="n">
        <v>0</v>
      </c>
      <c r="AC8" s="4" t="n"/>
      <c r="AD8" s="4" t="inlineStr">
        <is>
          <t>Not written under this title/slug. A related FA-originated topic (what is DNC / DNC device) partially overlaps content in /en/blog/cnc-file-transfer-guide -- check for overlap before writing this one.</t>
        </is>
      </c>
    </row>
    <row r="9">
      <c r="A9" s="4" t="inlineStr">
        <is>
          <t>EN-EC-006</t>
        </is>
      </c>
      <c r="B9" s="4" t="inlineStr">
        <is>
          <t>Week 2</t>
        </is>
      </c>
      <c r="C9" s="4" t="inlineStr">
        <is>
          <t>Monday</t>
        </is>
      </c>
      <c r="D9" s="4" t="inlineStr">
        <is>
          <t>CNC File Transfer &amp; DNC</t>
        </is>
      </c>
      <c r="E9" s="4" t="inlineStr">
        <is>
          <t>DNC Systems for CNC Machines: Architecture, Compatibility, and Use Cases</t>
        </is>
      </c>
      <c r="F9" s="4" t="inlineStr">
        <is>
          <t>DNC system for CNC machines</t>
        </is>
      </c>
      <c r="G9" s="4" t="inlineStr">
        <is>
          <t>industrial DNC system, DNC network, CNC DNC system, multi-machine DNC</t>
        </is>
      </c>
      <c r="H9" s="4" t="inlineStr">
        <is>
          <t>Commercial</t>
        </is>
      </c>
      <c r="I9" s="4" t="inlineStr">
        <is>
          <t>Consideration</t>
        </is>
      </c>
      <c r="J9" s="4" t="inlineStr">
        <is>
          <t>Buyer’s Guide</t>
        </is>
      </c>
      <c r="K9" s="4" t="inlineStr">
        <is>
          <t>DNC Systems for CNC Machines: Architecture, Compatibility, and Use Cases</t>
        </is>
      </c>
      <c r="L9" s="4">
        <f>LEN(K9)</f>
        <v/>
      </c>
      <c r="M9" s="4" t="inlineStr">
        <is>
          <t>Learn DNC system for CNC machines: practical methods, setup choices, compatibility checks, common errors, and a safer workflow for CNC program transfer.</t>
        </is>
      </c>
      <c r="N9" s="4">
        <f>LEN(M9)</f>
        <v/>
      </c>
      <c r="O9" s="4" t="inlineStr">
        <is>
          <t>dnc-system-for-cnc-machines</t>
        </is>
      </c>
      <c r="P9" s="4" t="inlineStr">
        <is>
          <t>DNC Systems for CNC Machines: Architecture, Compatibility, and Use Cases</t>
        </is>
      </c>
      <c r="Q9" s="4" t="inlineStr">
        <is>
          <t>What is DNC system for CNC machines and where does it fit?
Core features and technical requirements
Controller and communication compatibility
Deployment, maintenance, and scalability
Security, permissions, and program control
Buying checklist and questions to ask
Frequently asked questions</t>
        </is>
      </c>
      <c r="R9" s="4" t="inlineStr">
        <is>
          <t>/en/product | Software: /en/software | Contact: /en/contact</t>
        </is>
      </c>
      <c r="S9" s="4" t="inlineStr">
        <is>
          <t>Official controller documentation / ElecIO technical validation | https://www.cimco.com/software/cimco-dnc-max/</t>
        </is>
      </c>
      <c r="T9" s="4" t="inlineStr">
        <is>
          <t>Get technical consultation</t>
        </is>
      </c>
      <c r="U9" s="4" t="inlineStr">
        <is>
          <t>Satisfy consideration-stage intent and move qualified readers naturally toward /en/product.</t>
        </is>
      </c>
      <c r="V9" s="4" t="n"/>
      <c r="W9" s="4" t="n"/>
      <c r="X9" s="4" t="n"/>
      <c r="Y9" s="4" t="n"/>
      <c r="Z9" s="4" t="inlineStr">
        <is>
          <t>Idea</t>
        </is>
      </c>
      <c r="AA9" s="4" t="inlineStr">
        <is>
          <t>High</t>
        </is>
      </c>
      <c r="AB9" s="70" t="n">
        <v>0</v>
      </c>
      <c r="AC9" s="4" t="n"/>
      <c r="AD9" s="4" t="n"/>
    </row>
    <row r="10">
      <c r="A10" s="4" t="inlineStr">
        <is>
          <t>EN-EC-007</t>
        </is>
      </c>
      <c r="B10" s="4" t="inlineStr">
        <is>
          <t>Week 2</t>
        </is>
      </c>
      <c r="C10" s="4" t="inlineStr">
        <is>
          <t>Tuesday</t>
        </is>
      </c>
      <c r="D10" s="4" t="inlineStr">
        <is>
          <t>CNC File Transfer &amp; DNC</t>
        </is>
      </c>
      <c r="E10" s="4" t="inlineStr">
        <is>
          <t>CNC Program Transfer Devices: When Hardware DNC Makes Sense</t>
        </is>
      </c>
      <c r="F10" s="4" t="inlineStr">
        <is>
          <t>CNC program transfer device</t>
        </is>
      </c>
      <c r="G10" s="4" t="inlineStr">
        <is>
          <t>DNC hardware, CNC transfer device, RS232 DNC device, CNC file transfer device</t>
        </is>
      </c>
      <c r="H10" s="4" t="inlineStr">
        <is>
          <t>Commercial</t>
        </is>
      </c>
      <c r="I10" s="4" t="inlineStr">
        <is>
          <t>Consideration</t>
        </is>
      </c>
      <c r="J10" s="4" t="inlineStr">
        <is>
          <t>Buyer’s Guide</t>
        </is>
      </c>
      <c r="K10" s="4" t="inlineStr">
        <is>
          <t>CNC Program Transfer Devices: When Hardware DNC Makes Sense</t>
        </is>
      </c>
      <c r="L10" s="4">
        <f>LEN(K10)</f>
        <v/>
      </c>
      <c r="M10" s="4" t="inlineStr">
        <is>
          <t>Learn CNC program transfer device: practical methods, setup choices, compatibility checks, common errors, and a safer workflow for CNC program transfer.</t>
        </is>
      </c>
      <c r="N10" s="4">
        <f>LEN(M10)</f>
        <v/>
      </c>
      <c r="O10" s="4" t="inlineStr">
        <is>
          <t>cnc-program-transfer-device</t>
        </is>
      </c>
      <c r="P10" s="4" t="inlineStr">
        <is>
          <t>CNC Program Transfer Devices: When Hardware DNC Makes Sense</t>
        </is>
      </c>
      <c r="Q10" s="4" t="inlineStr">
        <is>
          <t>What is CNC program transfer device and where does it fit?
Core features and technical requirements
Controller and communication compatibility
Deployment, maintenance, and scalability
Security, permissions, and program control
Buying checklist and questions to ask
Frequently asked questions</t>
        </is>
      </c>
      <c r="R10" s="4" t="inlineStr">
        <is>
          <t>/en/product | Software: /en/software | Contact: /en/contact</t>
        </is>
      </c>
      <c r="S10" s="4" t="inlineStr">
        <is>
          <t>Official controller documentation / ElecIO technical validation | https://www.cimco.com/software/cimco-dnc-max/</t>
        </is>
      </c>
      <c r="T10" s="4" t="inlineStr">
        <is>
          <t>Explore Smart DNC</t>
        </is>
      </c>
      <c r="U10" s="4" t="inlineStr">
        <is>
          <t>Satisfy consideration-stage intent and move qualified readers naturally toward /en/product.</t>
        </is>
      </c>
      <c r="V10" s="4" t="n"/>
      <c r="W10" s="4" t="n"/>
      <c r="X10" s="4" t="n"/>
      <c r="Y10" s="4" t="n"/>
      <c r="Z10" s="4" t="inlineStr">
        <is>
          <t>Idea</t>
        </is>
      </c>
      <c r="AA10" s="4" t="inlineStr">
        <is>
          <t>High</t>
        </is>
      </c>
      <c r="AB10" s="70" t="n">
        <v>0</v>
      </c>
      <c r="AC10" s="4" t="n"/>
      <c r="AD10" s="4" t="n"/>
    </row>
    <row r="11">
      <c r="A11" s="4" t="inlineStr">
        <is>
          <t>EN-EC-008</t>
        </is>
      </c>
      <c r="B11" s="4" t="inlineStr">
        <is>
          <t>Week 2</t>
        </is>
      </c>
      <c r="C11" s="4" t="inlineStr">
        <is>
          <t>Wednesday</t>
        </is>
      </c>
      <c r="D11" s="4" t="inlineStr">
        <is>
          <t>CNC File Transfer &amp; DNC</t>
        </is>
      </c>
      <c r="E11" s="4" t="inlineStr">
        <is>
          <t>DNC for Small Machine Shops: A Practical Deployment Guide</t>
        </is>
      </c>
      <c r="F11" s="4" t="inlineStr">
        <is>
          <t>DNC for small machine shops</t>
        </is>
      </c>
      <c r="G11" s="4" t="inlineStr">
        <is>
          <t>DNC for small shop, low-cost DNC, single-machine DNC, CNC shop networking</t>
        </is>
      </c>
      <c r="H11" s="4" t="inlineStr">
        <is>
          <t>Commercial</t>
        </is>
      </c>
      <c r="I11" s="4" t="inlineStr">
        <is>
          <t>Consideration</t>
        </is>
      </c>
      <c r="J11" s="4" t="inlineStr">
        <is>
          <t>Industrial Use Case</t>
        </is>
      </c>
      <c r="K11" s="4" t="inlineStr">
        <is>
          <t>DNC for Small Machine Shops: A Practical Deployment Guide</t>
        </is>
      </c>
      <c r="L11" s="4">
        <f>LEN(K11)</f>
        <v/>
      </c>
      <c r="M11" s="4" t="inlineStr">
        <is>
          <t>Learn DNC for small machine shops: practical methods, setup choices, compatibility checks, common errors, and a safer workflow for CNC program transfer.</t>
        </is>
      </c>
      <c r="N11" s="4">
        <f>LEN(M11)</f>
        <v/>
      </c>
      <c r="O11" s="4" t="inlineStr">
        <is>
          <t>dnc-for-small-machine-shops</t>
        </is>
      </c>
      <c r="P11" s="4" t="inlineStr">
        <is>
          <t>DNC for Small Machine Shops: A Practical Deployment Guide</t>
        </is>
      </c>
      <c r="Q11" s="4" t="inlineStr">
        <is>
          <t>What is DNC for small machine shops?
Available methods and technical prerequisites
How the workflow works step by step
Compatibility and controller considerations
Common mistakes and troubleshooting
Security and maintenance recommendations
Practical checklist
Frequently asked questions</t>
        </is>
      </c>
      <c r="R11" s="4" t="inlineStr">
        <is>
          <t>/en/product | Software: /en/software | Contact: /en/contact</t>
        </is>
      </c>
      <c r="S11" s="4" t="inlineStr">
        <is>
          <t>Official controller documentation / ElecIO technical validation | https://www.cimco.com/software/cimco-dnc-max/</t>
        </is>
      </c>
      <c r="T11" s="4" t="inlineStr">
        <is>
          <t>Get technical consultation</t>
        </is>
      </c>
      <c r="U11" s="4" t="inlineStr">
        <is>
          <t>Satisfy consideration-stage intent and move qualified readers naturally toward /en/product.</t>
        </is>
      </c>
      <c r="V11" s="4" t="n"/>
      <c r="W11" s="4" t="n"/>
      <c r="X11" s="4" t="n"/>
      <c r="Y11" s="4" t="n"/>
      <c r="Z11" s="4" t="inlineStr">
        <is>
          <t>Idea</t>
        </is>
      </c>
      <c r="AA11" s="4" t="inlineStr">
        <is>
          <t>High</t>
        </is>
      </c>
      <c r="AB11" s="70" t="n">
        <v>0</v>
      </c>
      <c r="AC11" s="4" t="n"/>
      <c r="AD11" s="4" t="n"/>
    </row>
    <row r="12">
      <c r="A12" s="4" t="inlineStr">
        <is>
          <t>EN-EC-009</t>
        </is>
      </c>
      <c r="B12" s="4" t="inlineStr">
        <is>
          <t>Week 2</t>
        </is>
      </c>
      <c r="C12" s="4" t="inlineStr">
        <is>
          <t>Thursday</t>
        </is>
      </c>
      <c r="D12" s="4" t="inlineStr">
        <is>
          <t>Industrial Networking</t>
        </is>
      </c>
      <c r="E12" s="4" t="inlineStr">
        <is>
          <t>Wireless DNC for CNC Machines: Benefits, Limits, and Deployment Options</t>
        </is>
      </c>
      <c r="F12" s="4" t="inlineStr">
        <is>
          <t>wireless DNC</t>
        </is>
      </c>
      <c r="G12" s="4" t="inlineStr">
        <is>
          <t>wireless DNC system, Wi-Fi DNC, wireless CNC networking, RS232 wireless DNC</t>
        </is>
      </c>
      <c r="H12" s="4" t="inlineStr">
        <is>
          <t>Commercial</t>
        </is>
      </c>
      <c r="I12" s="4" t="inlineStr">
        <is>
          <t>Consideration</t>
        </is>
      </c>
      <c r="J12" s="4" t="inlineStr">
        <is>
          <t>Comprehensive Guide</t>
        </is>
      </c>
      <c r="K12" s="4" t="inlineStr">
        <is>
          <t>Wireless DNC for CNC Machines: Benefits, Limits, and Deployment Options</t>
        </is>
      </c>
      <c r="L12" s="4">
        <f>LEN(K12)</f>
        <v/>
      </c>
      <c r="M12" s="4" t="inlineStr">
        <is>
          <t>Practical guide to wireless DNC, including network options, legacy-machine considerations, security, and file-transfer workflow for CNC shops.</t>
        </is>
      </c>
      <c r="N12" s="4">
        <f>LEN(M12)</f>
        <v/>
      </c>
      <c r="O12" s="4" t="inlineStr">
        <is>
          <t>wireless-dnc-cnc</t>
        </is>
      </c>
      <c r="P12" s="4" t="inlineStr">
        <is>
          <t>Wireless DNC for CNC Machines: Benefits, Limits, and Deployment Options</t>
        </is>
      </c>
      <c r="Q12" s="4" t="inlineStr">
        <is>
          <t>What is wireless DNC?
Available methods and technical prerequisites
How the workflow works step by step
Compatibility and controller considerations
Common mistakes and troubleshooting
Security and maintenance recommendations
Practical checklist
Frequently asked questions</t>
        </is>
      </c>
      <c r="R12" s="4" t="inlineStr">
        <is>
          <t>/en/product | Software: /en/software | Contact: /en/contact</t>
        </is>
      </c>
      <c r="S12" s="4" t="inlineStr">
        <is>
          <t>Official controller documentation / ElecIO technical validation | https://www.cimco.com/software/cimco-dnc-max/</t>
        </is>
      </c>
      <c r="T12" s="4" t="inlineStr">
        <is>
          <t>Explore Smart DNC</t>
        </is>
      </c>
      <c r="U12" s="4" t="inlineStr">
        <is>
          <t>Satisfy consideration-stage intent and move qualified readers naturally toward /en/product.</t>
        </is>
      </c>
      <c r="V12" s="4" t="n"/>
      <c r="W12" s="4" t="n"/>
      <c r="X12" s="4" t="n"/>
      <c r="Y12" s="4" t="n"/>
      <c r="Z12" s="4" t="inlineStr">
        <is>
          <t>Idea</t>
        </is>
      </c>
      <c r="AA12" s="4" t="inlineStr">
        <is>
          <t>High</t>
        </is>
      </c>
      <c r="AB12" s="70" t="n">
        <v>0</v>
      </c>
      <c r="AC12" s="4" t="n"/>
      <c r="AD12" s="4" t="n"/>
    </row>
    <row r="13">
      <c r="A13" s="4" t="inlineStr">
        <is>
          <t>EN-EC-010</t>
        </is>
      </c>
      <c r="B13" s="4" t="inlineStr">
        <is>
          <t>Week 2</t>
        </is>
      </c>
      <c r="C13" s="4" t="inlineStr">
        <is>
          <t>Friday</t>
        </is>
      </c>
      <c r="D13" s="4" t="inlineStr">
        <is>
          <t>Industrial Networking</t>
        </is>
      </c>
      <c r="E13" s="4" t="inlineStr">
        <is>
          <t>Wireless CNC File Transfer: How It Works and When to Use It</t>
        </is>
      </c>
      <c r="F13" s="4" t="inlineStr">
        <is>
          <t>wireless CNC file transfer</t>
        </is>
      </c>
      <c r="G13" s="4" t="inlineStr">
        <is>
          <t>Wi-Fi CNC file transfer, wireless program transfer, send CNC files wirelessly</t>
        </is>
      </c>
      <c r="H13" s="4" t="inlineStr">
        <is>
          <t>Informational</t>
        </is>
      </c>
      <c r="I13" s="4" t="inlineStr">
        <is>
          <t>Awareness</t>
        </is>
      </c>
      <c r="J13" s="4" t="inlineStr">
        <is>
          <t>Technical Tutorial</t>
        </is>
      </c>
      <c r="K13" s="4" t="inlineStr">
        <is>
          <t>Wireless CNC File Transfer: How It Works and When to Use It</t>
        </is>
      </c>
      <c r="L13" s="4">
        <f>LEN(K13)</f>
        <v/>
      </c>
      <c r="M13" s="4" t="inlineStr">
        <is>
          <t>Practical guide to wireless CNC file transfer, including network options, legacy-machine considerations, security, and file-transfer workflow for CNC shops.</t>
        </is>
      </c>
      <c r="N13" s="4">
        <f>LEN(M13)</f>
        <v/>
      </c>
      <c r="O13" s="4" t="inlineStr">
        <is>
          <t>wireless-cnc-file-transfer</t>
        </is>
      </c>
      <c r="P13" s="4" t="inlineStr">
        <is>
          <t>Wireless CNC File Transfer: How It Works and When to Use It</t>
        </is>
      </c>
      <c r="Q13" s="4" t="inlineStr">
        <is>
          <t>What is wireless CNC file transfer?
Available methods and technical prerequisites
How the workflow works step by step
Compatibility and controller considerations
Common mistakes and troubleshooting
Security and maintenance recommendations
Practical checklist
Frequently asked questions</t>
        </is>
      </c>
      <c r="R13" s="4" t="inlineStr">
        <is>
          <t>/en/product | Software: /en/software | Contact: /en/contact</t>
        </is>
      </c>
      <c r="S13" s="4" t="inlineStr">
        <is>
          <t>Official controller documentation / ElecIO technical validation | https://www.cimco.com/software/cimco-dnc-max/</t>
        </is>
      </c>
      <c r="T13" s="4" t="inlineStr">
        <is>
          <t>Explore Smart DNC</t>
        </is>
      </c>
      <c r="U13" s="4" t="inlineStr">
        <is>
          <t>Fully answer informational intent and create a natural path toward /en/product.</t>
        </is>
      </c>
      <c r="V13" s="4" t="n"/>
      <c r="W13" s="4" t="n"/>
      <c r="X13" s="4" t="n"/>
      <c r="Y13" s="4" t="n"/>
      <c r="Z13" s="4" t="inlineStr">
        <is>
          <t>Idea</t>
        </is>
      </c>
      <c r="AA13" s="4" t="inlineStr">
        <is>
          <t>High</t>
        </is>
      </c>
      <c r="AB13" s="70" t="n">
        <v>0</v>
      </c>
      <c r="AC13" s="4" t="n"/>
      <c r="AD13" s="4" t="n"/>
    </row>
    <row r="14">
      <c r="A14" s="4" t="inlineStr">
        <is>
          <t>EN-EC-011</t>
        </is>
      </c>
      <c r="B14" s="4" t="inlineStr">
        <is>
          <t>Week 3</t>
        </is>
      </c>
      <c r="C14" s="4" t="inlineStr">
        <is>
          <t>Monday</t>
        </is>
      </c>
      <c r="D14" s="4" t="inlineStr">
        <is>
          <t>Industrial Networking</t>
        </is>
      </c>
      <c r="E14" s="4" t="inlineStr">
        <is>
          <t>CNC Network Basics: Connecting Machines, PCs, and DNC Systems</t>
        </is>
      </c>
      <c r="F14" s="4" t="inlineStr">
        <is>
          <t>CNC network</t>
        </is>
      </c>
      <c r="G14" s="4" t="inlineStr">
        <is>
          <t>CNC machine network, DNC network, shop floor CNC network, CNC networking</t>
        </is>
      </c>
      <c r="H14" s="4" t="inlineStr">
        <is>
          <t>Informational</t>
        </is>
      </c>
      <c r="I14" s="4" t="inlineStr">
        <is>
          <t>Awareness</t>
        </is>
      </c>
      <c r="J14" s="4" t="inlineStr">
        <is>
          <t>Comprehensive Guide</t>
        </is>
      </c>
      <c r="K14" s="4" t="inlineStr">
        <is>
          <t>CNC Network Basics: Connecting Machines, PCs, and DNC Systems</t>
        </is>
      </c>
      <c r="L14" s="4">
        <f>LEN(K14)</f>
        <v/>
      </c>
      <c r="M14" s="4" t="inlineStr">
        <is>
          <t>Practical guide to CNC network, including network options, legacy-machine considerations, security, and file-transfer workflow for CNC shops.</t>
        </is>
      </c>
      <c r="N14" s="4">
        <f>LEN(M14)</f>
        <v/>
      </c>
      <c r="O14" s="4" t="inlineStr">
        <is>
          <t>cnc-network-guide</t>
        </is>
      </c>
      <c r="P14" s="4" t="inlineStr">
        <is>
          <t>CNC Network Basics: Connecting Machines, PCs, and DNC Systems</t>
        </is>
      </c>
      <c r="Q14" s="4" t="inlineStr">
        <is>
          <t>What is CNC network?
Available methods and technical prerequisites
How the workflow works step by step
Compatibility and controller considerations
Common mistakes and troubleshooting
Security and maintenance recommendations
Practical checklist
Frequently asked questions</t>
        </is>
      </c>
      <c r="R14" s="4" t="inlineStr">
        <is>
          <t>/en/product | Software: /en/software | Contact: /en/contact</t>
        </is>
      </c>
      <c r="S14" s="4" t="inlineStr">
        <is>
          <t>Official controller documentation / ElecIO technical validation | https://www.cimco.com/software/cimco-dnc-max/</t>
        </is>
      </c>
      <c r="T14" s="4" t="inlineStr">
        <is>
          <t>Explore Smart DNC</t>
        </is>
      </c>
      <c r="U14" s="4" t="inlineStr">
        <is>
          <t>Fully answer informational intent and create a natural path toward /en/product.</t>
        </is>
      </c>
      <c r="V14" s="4" t="n"/>
      <c r="W14" s="4" t="n"/>
      <c r="X14" s="4" t="n"/>
      <c r="Y14" s="4" t="n"/>
      <c r="Z14" s="4" t="inlineStr">
        <is>
          <t>Idea</t>
        </is>
      </c>
      <c r="AA14" s="4" t="inlineStr">
        <is>
          <t>High</t>
        </is>
      </c>
      <c r="AB14" s="70" t="n">
        <v>0</v>
      </c>
      <c r="AC14" s="4" t="n"/>
      <c r="AD14" s="4" t="n"/>
    </row>
    <row r="15">
      <c r="A15" s="4" t="inlineStr">
        <is>
          <t>EN-EC-012</t>
        </is>
      </c>
      <c r="B15" s="4" t="inlineStr">
        <is>
          <t>Week 3</t>
        </is>
      </c>
      <c r="C15" s="4" t="inlineStr">
        <is>
          <t>Tuesday</t>
        </is>
      </c>
      <c r="D15" s="4" t="inlineStr">
        <is>
          <t>Industrial Networking</t>
        </is>
      </c>
      <c r="E15" s="4" t="inlineStr">
        <is>
          <t>How to Connect a CNC Machine to a Network</t>
        </is>
      </c>
      <c r="F15" s="4" t="inlineStr">
        <is>
          <t>connect CNC machine to network</t>
        </is>
      </c>
      <c r="G15" s="4" t="inlineStr">
        <is>
          <t>connect CNC to LAN, CNC Ethernet setup, network CNC machine, CNC file sharing</t>
        </is>
      </c>
      <c r="H15" s="4" t="inlineStr">
        <is>
          <t>Informational</t>
        </is>
      </c>
      <c r="I15" s="4" t="inlineStr">
        <is>
          <t>Awareness</t>
        </is>
      </c>
      <c r="J15" s="4" t="inlineStr">
        <is>
          <t>Technical Tutorial</t>
        </is>
      </c>
      <c r="K15" s="4" t="inlineStr">
        <is>
          <t>How to Connect a CNC Machine to a Network</t>
        </is>
      </c>
      <c r="L15" s="4">
        <f>LEN(K15)</f>
        <v/>
      </c>
      <c r="M15" s="4" t="inlineStr">
        <is>
          <t>Practical guide to connect CNC machine to network, including network options, legacy-machine considerations, security, and file-transfer workflow for CNC shops.</t>
        </is>
      </c>
      <c r="N15" s="4">
        <f>LEN(M15)</f>
        <v/>
      </c>
      <c r="O15" s="4" t="inlineStr">
        <is>
          <t>connect-cnc-machine-to-network</t>
        </is>
      </c>
      <c r="P15" s="4" t="inlineStr">
        <is>
          <t>How to Connect a CNC Machine to a Network</t>
        </is>
      </c>
      <c r="Q15" s="4" t="inlineStr">
        <is>
          <t>What is connect CNC machine to network?
Available methods and technical prerequisites
How the workflow works step by step
Compatibility and controller considerations
Common mistakes and troubleshooting
Security and maintenance recommendations
Practical checklist
Frequently asked questions</t>
        </is>
      </c>
      <c r="R15" s="4" t="inlineStr">
        <is>
          <t>/en/product | Software: /en/software | Contact: /en/contact</t>
        </is>
      </c>
      <c r="S15" s="4" t="inlineStr">
        <is>
          <t>Official controller documentation / ElecIO technical validation | https://www.cimco.com/software/cimco-dnc-max/</t>
        </is>
      </c>
      <c r="T15" s="4" t="inlineStr">
        <is>
          <t>Get technical consultation</t>
        </is>
      </c>
      <c r="U15" s="4" t="inlineStr">
        <is>
          <t>Fully answer informational intent and create a natural path toward /en/product.</t>
        </is>
      </c>
      <c r="V15" s="4" t="n"/>
      <c r="W15" s="4" t="n"/>
      <c r="X15" s="4" t="n"/>
      <c r="Y15" s="4" t="n"/>
      <c r="Z15" s="4" t="inlineStr">
        <is>
          <t>Idea</t>
        </is>
      </c>
      <c r="AA15" s="4" t="inlineStr">
        <is>
          <t>High</t>
        </is>
      </c>
      <c r="AB15" s="70" t="n">
        <v>0</v>
      </c>
      <c r="AC15" s="4" t="n"/>
      <c r="AD15" s="4" t="n"/>
    </row>
    <row r="16">
      <c r="A16" s="4" t="inlineStr">
        <is>
          <t>EN-EC-013</t>
        </is>
      </c>
      <c r="B16" s="4" t="inlineStr">
        <is>
          <t>Week 3</t>
        </is>
      </c>
      <c r="C16" s="4" t="inlineStr">
        <is>
          <t>Wednesday</t>
        </is>
      </c>
      <c r="D16" s="4" t="inlineStr">
        <is>
          <t>Industrial Networking</t>
        </is>
      </c>
      <c r="E16" s="4" t="inlineStr">
        <is>
          <t>CNC Network Security: Practical Controls for Program Transfer and Access</t>
        </is>
      </c>
      <c r="F16" s="4" t="inlineStr">
        <is>
          <t>CNC network security</t>
        </is>
      </c>
      <c r="G16" s="4" t="inlineStr">
        <is>
          <t>industrial network security CNC, CNC segmentation, secure CNC file transfer</t>
        </is>
      </c>
      <c r="H16" s="4" t="inlineStr">
        <is>
          <t>Informational</t>
        </is>
      </c>
      <c r="I16" s="4" t="inlineStr">
        <is>
          <t>Awareness</t>
        </is>
      </c>
      <c r="J16" s="4" t="inlineStr">
        <is>
          <t>Comprehensive Guide</t>
        </is>
      </c>
      <c r="K16" s="4" t="inlineStr">
        <is>
          <t>CNC Network Security: Practical Controls for Program Transfer and Access</t>
        </is>
      </c>
      <c r="L16" s="4">
        <f>LEN(K16)</f>
        <v/>
      </c>
      <c r="M16" s="4" t="inlineStr">
        <is>
          <t>Practical guide to CNC network security, including network options, legacy-machine considerations, security, and file-transfer workflow for CNC shops.</t>
        </is>
      </c>
      <c r="N16" s="4">
        <f>LEN(M16)</f>
        <v/>
      </c>
      <c r="O16" s="4" t="inlineStr">
        <is>
          <t>cnc-network-security</t>
        </is>
      </c>
      <c r="P16" s="4" t="inlineStr">
        <is>
          <t>CNC Network Security: Practical Controls for Program Transfer and Access</t>
        </is>
      </c>
      <c r="Q16" s="4" t="inlineStr">
        <is>
          <t>What is CNC network security?
Available methods and technical prerequisites
How the workflow works step by step
Compatibility and controller considerations
Common mistakes and troubleshooting
Security and maintenance recommendations
Practical checklist
Frequently asked questions</t>
        </is>
      </c>
      <c r="R16" s="4" t="inlineStr">
        <is>
          <t>/en/software | Product page: /en/product | Contact: /en/contact</t>
        </is>
      </c>
      <c r="S16" s="4" t="inlineStr">
        <is>
          <t>Official controller documentation / ElecIO technical validation | https://www.cimco.com/documentation/documents/cimco_nc-base/brochures/en/cimco-nc-base-brochure-en.pdf</t>
        </is>
      </c>
      <c r="T16" s="4" t="inlineStr">
        <is>
          <t>Request a demo</t>
        </is>
      </c>
      <c r="U16" s="4" t="inlineStr">
        <is>
          <t>Fully answer informational intent and create a natural path toward /en/software.</t>
        </is>
      </c>
      <c r="V16" s="4" t="n"/>
      <c r="W16" s="4" t="n"/>
      <c r="X16" s="4" t="n"/>
      <c r="Y16" s="4" t="n"/>
      <c r="Z16" s="4" t="inlineStr">
        <is>
          <t>Idea</t>
        </is>
      </c>
      <c r="AA16" s="4" t="inlineStr">
        <is>
          <t>Medium</t>
        </is>
      </c>
      <c r="AB16" s="70" t="n">
        <v>0</v>
      </c>
      <c r="AC16" s="4" t="n"/>
      <c r="AD16" s="4" t="n"/>
    </row>
    <row r="17">
      <c r="A17" s="4" t="inlineStr">
        <is>
          <t>EN-EC-014</t>
        </is>
      </c>
      <c r="B17" s="4" t="inlineStr">
        <is>
          <t>Week 3</t>
        </is>
      </c>
      <c r="C17" s="4" t="inlineStr">
        <is>
          <t>Thursday</t>
        </is>
      </c>
      <c r="D17" s="4" t="inlineStr">
        <is>
          <t>Serial Communication</t>
        </is>
      </c>
      <c r="E17" s="4" t="inlineStr">
        <is>
          <t>RS232 CNC File Transfer: Settings, Workflow, and Troubleshooting</t>
        </is>
      </c>
      <c r="F17" s="4" t="inlineStr">
        <is>
          <t>RS232 CNC file transfer</t>
        </is>
      </c>
      <c r="G17" s="4" t="inlineStr">
        <is>
          <t>CNC serial file transfer, RS232 DNC, serial CNC program transfer, DB25 CNC</t>
        </is>
      </c>
      <c r="H17" s="4" t="inlineStr">
        <is>
          <t>Informational</t>
        </is>
      </c>
      <c r="I17" s="4" t="inlineStr">
        <is>
          <t>Awareness</t>
        </is>
      </c>
      <c r="J17" s="4" t="inlineStr">
        <is>
          <t>Technical Tutorial</t>
        </is>
      </c>
      <c r="K17" s="4" t="inlineStr">
        <is>
          <t>RS232 CNC File Transfer: Settings, Workflow, and Troubleshooting</t>
        </is>
      </c>
      <c r="L17" s="4">
        <f>LEN(K17)</f>
        <v/>
      </c>
      <c r="M17" s="4" t="inlineStr">
        <is>
          <t>Understand RS232 CNC file transfer with practical RS232 settings, cabling checks, handshaking, transfer workflow, and common troubleshooting steps.</t>
        </is>
      </c>
      <c r="N17" s="4">
        <f>LEN(M17)</f>
        <v/>
      </c>
      <c r="O17" s="4" t="inlineStr">
        <is>
          <t>rs232-cnc-file-transfer</t>
        </is>
      </c>
      <c r="P17" s="4" t="inlineStr">
        <is>
          <t>RS232 CNC File Transfer: Settings, Workflow, and Troubleshooting</t>
        </is>
      </c>
      <c r="Q17" s="4" t="inlineStr">
        <is>
          <t>Before you configure RS232 CNC file transfer
Communication paths and required hardware
Controller-side settings to verify
PC, DNC, or network-side setup
Step-by-step transfer workflow
Common errors and troubleshooting
Security and backup checks
Frequently asked questions</t>
        </is>
      </c>
      <c r="R17" s="4" t="inlineStr">
        <is>
          <t>/en/product | Software: /en/software | Contact: /en/contact</t>
        </is>
      </c>
      <c r="S17" s="4" t="inlineStr">
        <is>
          <t>Official controller documentation / ElecIO technical validation | https://www.cimco.com/software/cimco-dnc-max/</t>
        </is>
      </c>
      <c r="T17" s="4" t="inlineStr">
        <is>
          <t>Explore Smart DNC</t>
        </is>
      </c>
      <c r="U17" s="4" t="inlineStr">
        <is>
          <t>Fully answer informational intent and create a natural path toward /en/product.</t>
        </is>
      </c>
      <c r="V17" s="4" t="n"/>
      <c r="W17" s="4" t="n"/>
      <c r="X17" s="4" t="n"/>
      <c r="Y17" s="4" t="n"/>
      <c r="Z17" s="4" t="inlineStr">
        <is>
          <t>Idea</t>
        </is>
      </c>
      <c r="AA17" s="4" t="inlineStr">
        <is>
          <t>Very High</t>
        </is>
      </c>
      <c r="AB17" s="70" t="n">
        <v>0</v>
      </c>
      <c r="AC17" s="4" t="n"/>
      <c r="AD17" s="4" t="n"/>
    </row>
    <row r="18">
      <c r="A18" s="4" t="inlineStr">
        <is>
          <t>EN-EC-015</t>
        </is>
      </c>
      <c r="B18" s="4" t="inlineStr">
        <is>
          <t>Week 3</t>
        </is>
      </c>
      <c r="C18" s="4" t="inlineStr">
        <is>
          <t>Friday</t>
        </is>
      </c>
      <c r="D18" s="4" t="inlineStr">
        <is>
          <t>Serial Communication</t>
        </is>
      </c>
      <c r="E18" s="4" t="inlineStr">
        <is>
          <t>CNC RS232 Cable Pinout: DB9, DB25, Handshaking, and Wiring Checks</t>
        </is>
      </c>
      <c r="F18" s="4" t="inlineStr">
        <is>
          <t>CNC RS232 cable pinout</t>
        </is>
      </c>
      <c r="G18" s="4" t="inlineStr">
        <is>
          <t>DB9 to DB25 CNC cable, RS232 pinout CNC, null modem CNC cable, serial cable CNC</t>
        </is>
      </c>
      <c r="H18" s="4" t="inlineStr">
        <is>
          <t>Informational</t>
        </is>
      </c>
      <c r="I18" s="4" t="inlineStr">
        <is>
          <t>Awareness</t>
        </is>
      </c>
      <c r="J18" s="4" t="inlineStr">
        <is>
          <t>Technical Tutorial</t>
        </is>
      </c>
      <c r="K18" s="4" t="inlineStr">
        <is>
          <t>CNC RS232 Cable Pinout: DB9, DB25, Handshaking, and Wiring Checks</t>
        </is>
      </c>
      <c r="L18" s="4">
        <f>LEN(K18)</f>
        <v/>
      </c>
      <c r="M18" s="4" t="inlineStr">
        <is>
          <t>Understand CNC RS232 cable pinout with practical RS232 settings, cabling checks, handshaking, transfer workflow, and common troubleshooting steps.</t>
        </is>
      </c>
      <c r="N18" s="4">
        <f>LEN(M18)</f>
        <v/>
      </c>
      <c r="O18" s="4" t="inlineStr">
        <is>
          <t>cnc-rs232-cable-pinout</t>
        </is>
      </c>
      <c r="P18" s="4" t="inlineStr">
        <is>
          <t>CNC RS232 Cable Pinout: DB9, DB25, Handshaking, and Wiring Checks</t>
        </is>
      </c>
      <c r="Q18" s="4" t="inlineStr">
        <is>
          <t>Before you configure CNC RS232 cable pinout
Communication paths and required hardware
Controller-side settings to verify
PC, DNC, or network-side setup
Step-by-step transfer workflow
Common errors and troubleshooting
Security and backup checks
Frequently asked questions</t>
        </is>
      </c>
      <c r="R18" s="4" t="inlineStr">
        <is>
          <t>/en/product | Software: /en/software | Contact: /en/contact</t>
        </is>
      </c>
      <c r="S18" s="4" t="inlineStr">
        <is>
          <t>Official controller documentation / ElecIO technical validation | https://www.cimco.com/software/cimco-dnc-max/</t>
        </is>
      </c>
      <c r="T18" s="4" t="inlineStr">
        <is>
          <t>Get technical consultation</t>
        </is>
      </c>
      <c r="U18" s="4" t="inlineStr">
        <is>
          <t>Fully answer informational intent and create a natural path toward /en/product.</t>
        </is>
      </c>
      <c r="V18" s="4" t="n"/>
      <c r="W18" s="4" t="n"/>
      <c r="X18" s="4" t="n"/>
      <c r="Y18" s="4" t="n"/>
      <c r="Z18" s="4" t="inlineStr">
        <is>
          <t>Idea</t>
        </is>
      </c>
      <c r="AA18" s="4" t="inlineStr">
        <is>
          <t>High</t>
        </is>
      </c>
      <c r="AB18" s="70" t="n">
        <v>0</v>
      </c>
      <c r="AC18" s="4" t="n"/>
      <c r="AD18" s="4" t="n"/>
    </row>
    <row r="19">
      <c r="A19" s="4" t="inlineStr">
        <is>
          <t>EN-EC-016</t>
        </is>
      </c>
      <c r="B19" s="4" t="inlineStr">
        <is>
          <t>Week 4</t>
        </is>
      </c>
      <c r="C19" s="4" t="inlineStr">
        <is>
          <t>Monday</t>
        </is>
      </c>
      <c r="D19" s="4" t="inlineStr">
        <is>
          <t>Serial Communication</t>
        </is>
      </c>
      <c r="E19" s="4" t="inlineStr">
        <is>
          <t>CNC RS232 Communication Settings: A Setup Checklist</t>
        </is>
      </c>
      <c r="F19" s="4" t="inlineStr">
        <is>
          <t>CNC RS232 communication settings</t>
        </is>
      </c>
      <c r="G19" s="4" t="inlineStr">
        <is>
          <t>baud rate CNC, parity CNC, data bits stop bits, XON XOFF RTS CTS</t>
        </is>
      </c>
      <c r="H19" s="4" t="inlineStr">
        <is>
          <t>Informational</t>
        </is>
      </c>
      <c r="I19" s="4" t="inlineStr">
        <is>
          <t>Awareness</t>
        </is>
      </c>
      <c r="J19" s="4" t="inlineStr">
        <is>
          <t>Checklist</t>
        </is>
      </c>
      <c r="K19" s="4" t="inlineStr">
        <is>
          <t>CNC RS232 Communication Settings: A Setup Checklist</t>
        </is>
      </c>
      <c r="L19" s="4">
        <f>LEN(K19)</f>
        <v/>
      </c>
      <c r="M19" s="4" t="inlineStr">
        <is>
          <t>Understand CNC RS232 communication settings with practical RS232 settings, cabling checks, handshaking, transfer workflow, and common troubleshooting steps.</t>
        </is>
      </c>
      <c r="N19" s="4">
        <f>LEN(M19)</f>
        <v/>
      </c>
      <c r="O19" s="4" t="inlineStr">
        <is>
          <t>cnc-rs232-communication-settings</t>
        </is>
      </c>
      <c r="P19" s="4" t="inlineStr">
        <is>
          <t>CNC RS232 Communication Settings: A Setup Checklist</t>
        </is>
      </c>
      <c r="Q19" s="4" t="inlineStr">
        <is>
          <t>Before you configure CNC RS232 communication settings
Communication paths and required hardware
Controller-side settings to verify
PC, DNC, or network-side setup
Step-by-step transfer workflow
Common errors and troubleshooting
Security and backup checks
Frequently asked questions</t>
        </is>
      </c>
      <c r="R19" s="4" t="inlineStr">
        <is>
          <t>/en/product | Software: /en/software | Contact: /en/contact</t>
        </is>
      </c>
      <c r="S19" s="4" t="inlineStr">
        <is>
          <t>Official controller documentation / ElecIO technical validation | https://www.cimco.com/software/cimco-dnc-max/</t>
        </is>
      </c>
      <c r="T19" s="4" t="inlineStr">
        <is>
          <t>Explore Smart DNC</t>
        </is>
      </c>
      <c r="U19" s="4" t="inlineStr">
        <is>
          <t>Fully answer informational intent and create a natural path toward /en/product.</t>
        </is>
      </c>
      <c r="V19" s="4" t="n"/>
      <c r="W19" s="4" t="n"/>
      <c r="X19" s="4" t="n"/>
      <c r="Y19" s="4" t="n"/>
      <c r="Z19" s="4" t="inlineStr">
        <is>
          <t>Idea</t>
        </is>
      </c>
      <c r="AA19" s="4" t="inlineStr">
        <is>
          <t>High</t>
        </is>
      </c>
      <c r="AB19" s="70" t="n">
        <v>0</v>
      </c>
      <c r="AC19" s="4" t="n"/>
      <c r="AD19" s="4" t="n"/>
    </row>
    <row r="20">
      <c r="A20" s="4" t="inlineStr">
        <is>
          <t>EN-EC-017</t>
        </is>
      </c>
      <c r="B20" s="4" t="inlineStr">
        <is>
          <t>Week 4</t>
        </is>
      </c>
      <c r="C20" s="4" t="inlineStr">
        <is>
          <t>Tuesday</t>
        </is>
      </c>
      <c r="D20" s="4" t="inlineStr">
        <is>
          <t>Troubleshooting</t>
        </is>
      </c>
      <c r="E20" s="4" t="inlineStr">
        <is>
          <t>CNC RS232 Troubleshooting: Fix Transfer Errors Step by Step</t>
        </is>
      </c>
      <c r="F20" s="4" t="inlineStr">
        <is>
          <t>CNC RS232 communication troubleshooting</t>
        </is>
      </c>
      <c r="G20" s="4" t="inlineStr">
        <is>
          <t>RS232 transfer error CNC, serial timeout CNC, parity error CNC, incomplete NC file</t>
        </is>
      </c>
      <c r="H20" s="4" t="inlineStr">
        <is>
          <t>Support</t>
        </is>
      </c>
      <c r="I20" s="4" t="inlineStr">
        <is>
          <t>Post-Purchase</t>
        </is>
      </c>
      <c r="J20" s="4" t="inlineStr">
        <is>
          <t>Troubleshooting</t>
        </is>
      </c>
      <c r="K20" s="4" t="inlineStr">
        <is>
          <t>CNC RS232 Troubleshooting: Fix Transfer Errors Step by Step</t>
        </is>
      </c>
      <c r="L20" s="4">
        <f>LEN(K20)</f>
        <v/>
      </c>
      <c r="M20" s="4" t="inlineStr">
        <is>
          <t>Troubleshoot CNC RS232 communication troubleshooting step by step: check settings, cabling, handshaking, file format, transfer symptoms, and the most likely failure points.</t>
        </is>
      </c>
      <c r="N20" s="4">
        <f>LEN(M20)</f>
        <v/>
      </c>
      <c r="O20" s="4" t="inlineStr">
        <is>
          <t>cnc-rs232-troubleshooting</t>
        </is>
      </c>
      <c r="P20" s="4" t="inlineStr">
        <is>
          <t>CNC RS232 Troubleshooting: Fix Transfer Errors Step by Step</t>
        </is>
      </c>
      <c r="Q20" s="4" t="inlineStr">
        <is>
          <t>Common symptoms related to CNC RS232 communication troubleshooting
Check communication settings first
Inspect cabling, ports, and handshaking
Verify the NC file and controller state
Isolate the PC, network, or CNC side
Escalation checklist for technical support
Frequently asked questions</t>
        </is>
      </c>
      <c r="R20" s="4" t="inlineStr">
        <is>
          <t>/en/contact | Product page: /en/product | Troubleshooting hub: /en/blog</t>
        </is>
      </c>
      <c r="S20" s="4" t="inlineStr">
        <is>
          <t>Official controller documentation / ElecIO technical validation | https://www.cimco.com/software/cimco-dnc-max/</t>
        </is>
      </c>
      <c r="T20" s="4" t="inlineStr">
        <is>
          <t>Contact technical support</t>
        </is>
      </c>
      <c r="U20" s="4" t="inlineStr">
        <is>
          <t>Resolve a technical problem clearly and route unresolved cases to /en/contact.</t>
        </is>
      </c>
      <c r="V20" s="4" t="n"/>
      <c r="W20" s="4" t="n"/>
      <c r="X20" s="4" t="n"/>
      <c r="Y20" s="4" t="n"/>
      <c r="Z20" s="4" t="inlineStr">
        <is>
          <t>Idea</t>
        </is>
      </c>
      <c r="AA20" s="4" t="inlineStr">
        <is>
          <t>High</t>
        </is>
      </c>
      <c r="AB20" s="70" t="n">
        <v>0</v>
      </c>
      <c r="AC20" s="4" t="n"/>
      <c r="AD20" s="4" t="n"/>
    </row>
    <row r="21">
      <c r="A21" s="4" t="inlineStr">
        <is>
          <t>EN-EC-018</t>
        </is>
      </c>
      <c r="B21" s="4" t="inlineStr">
        <is>
          <t>Week 4</t>
        </is>
      </c>
      <c r="C21" s="4" t="inlineStr">
        <is>
          <t>Wednesday</t>
        </is>
      </c>
      <c r="D21" s="4" t="inlineStr">
        <is>
          <t>FANUC Controller</t>
        </is>
      </c>
      <c r="E21" s="4" t="inlineStr">
        <is>
          <t>FANUC Program Transfer: PC-to-CNC Methods and Setup</t>
        </is>
      </c>
      <c r="F21" s="4" t="inlineStr">
        <is>
          <t>FANUC program transfer</t>
        </is>
      </c>
      <c r="G21" s="4" t="inlineStr">
        <is>
          <t>transfer program to FANUC CNC, FANUC file transfer, FANUC program upload download</t>
        </is>
      </c>
      <c r="H21" s="4" t="inlineStr">
        <is>
          <t>Informational</t>
        </is>
      </c>
      <c r="I21" s="4" t="inlineStr">
        <is>
          <t>Awareness</t>
        </is>
      </c>
      <c r="J21" s="4" t="inlineStr">
        <is>
          <t>Technical Tutorial</t>
        </is>
      </c>
      <c r="K21" s="4" t="inlineStr">
        <is>
          <t>FANUC Program Transfer: PC-to-CNC Methods and Setup</t>
        </is>
      </c>
      <c r="L21" s="4">
        <f>LEN(K21)</f>
        <v/>
      </c>
      <c r="M21" s="4" t="inlineStr">
        <is>
          <t>Practical guide to FANUC program transfer: communication setup, transfer workflow, settings to verify, and common issues when moving programs to FANUC CNCs.</t>
        </is>
      </c>
      <c r="N21" s="4">
        <f>LEN(M21)</f>
        <v/>
      </c>
      <c r="O21" s="4" t="inlineStr">
        <is>
          <t>fanuc-program-transfer</t>
        </is>
      </c>
      <c r="P21" s="4" t="inlineStr">
        <is>
          <t>FANUC Program Transfer: PC-to-CNC Methods and Setup</t>
        </is>
      </c>
      <c r="Q21" s="4" t="inlineStr">
        <is>
          <t>Before you configure FANUC program transfer
Communication paths and required hardware
Controller-side settings to verify
PC, DNC, or network-side setup
Step-by-step transfer workflow
Common errors and troubleshooting
Security and backup checks
Frequently asked questions</t>
        </is>
      </c>
      <c r="R21" s="4" t="inlineStr">
        <is>
          <t>/en/product | Software: /en/software | Contact: /en/contact | Related: /en/blog/rs232-cnc-file-transfer</t>
        </is>
      </c>
      <c r="S21" s="4" t="inlineStr">
        <is>
          <t>Official controller documentation / ElecIO technical validation | https://www.fanucamerica.com/products/software/program-transfer-tool</t>
        </is>
      </c>
      <c r="T21" s="4" t="inlineStr">
        <is>
          <t>Check FANUC compatibility</t>
        </is>
      </c>
      <c r="U21" s="4" t="inlineStr">
        <is>
          <t>Fully answer informational intent and create a natural path toward /en/product.</t>
        </is>
      </c>
      <c r="V21" s="4" t="n"/>
      <c r="W21" s="4" t="n"/>
      <c r="X21" s="4" t="n"/>
      <c r="Y21" s="4" t="n"/>
      <c r="Z21" s="4" t="inlineStr">
        <is>
          <t>Idea</t>
        </is>
      </c>
      <c r="AA21" s="4" t="inlineStr">
        <is>
          <t>Very High</t>
        </is>
      </c>
      <c r="AB21" s="70" t="n">
        <v>0</v>
      </c>
      <c r="AC21" s="4" t="n"/>
      <c r="AD21" s="4" t="n"/>
    </row>
    <row r="22">
      <c r="A22" s="4" t="inlineStr">
        <is>
          <t>EN-EC-019</t>
        </is>
      </c>
      <c r="B22" s="4" t="inlineStr">
        <is>
          <t>Week 4</t>
        </is>
      </c>
      <c r="C22" s="4" t="inlineStr">
        <is>
          <t>Thursday</t>
        </is>
      </c>
      <c r="D22" s="4" t="inlineStr">
        <is>
          <t>FANUC Controller</t>
        </is>
      </c>
      <c r="E22" s="4" t="inlineStr">
        <is>
          <t>FANUC RS232 Settings for Reliable Program Transfer</t>
        </is>
      </c>
      <c r="F22" s="4" t="inlineStr">
        <is>
          <t>FANUC RS232 settings</t>
        </is>
      </c>
      <c r="G22" s="4" t="inlineStr">
        <is>
          <t>FANUC serial settings, FANUC I/O channel, FANUC RS232 communication</t>
        </is>
      </c>
      <c r="H22" s="4" t="inlineStr">
        <is>
          <t>Informational</t>
        </is>
      </c>
      <c r="I22" s="4" t="inlineStr">
        <is>
          <t>Awareness</t>
        </is>
      </c>
      <c r="J22" s="4" t="inlineStr">
        <is>
          <t>Checklist</t>
        </is>
      </c>
      <c r="K22" s="4" t="inlineStr">
        <is>
          <t>FANUC RS232 Settings for Reliable Program Transfer</t>
        </is>
      </c>
      <c r="L22" s="4">
        <f>LEN(K22)</f>
        <v/>
      </c>
      <c r="M22" s="4" t="inlineStr">
        <is>
          <t>Practical guide to FANUC RS232 settings: communication setup, transfer workflow, settings to verify, and common issues when moving programs to FANUC CNCs.</t>
        </is>
      </c>
      <c r="N22" s="4">
        <f>LEN(M22)</f>
        <v/>
      </c>
      <c r="O22" s="4" t="inlineStr">
        <is>
          <t>fanuc-rs232-settings</t>
        </is>
      </c>
      <c r="P22" s="4" t="inlineStr">
        <is>
          <t>FANUC RS232 Settings for Reliable Program Transfer</t>
        </is>
      </c>
      <c r="Q22" s="4" t="inlineStr">
        <is>
          <t>Before you configure FANUC RS232 settings
Communication paths and required hardware
Controller-side settings to verify
PC, DNC, or network-side setup
Step-by-step transfer workflow
Common errors and troubleshooting
Security and backup checks
Frequently asked questions</t>
        </is>
      </c>
      <c r="R22" s="4" t="inlineStr">
        <is>
          <t>/en/product | Software: /en/software | Contact: /en/contact | Related: /en/blog/rs232-cnc-file-transfer</t>
        </is>
      </c>
      <c r="S22" s="4" t="inlineStr">
        <is>
          <t>Official controller documentation / ElecIO technical validation | https://www.fanucamerica.com/products/software/program-transfer-tool</t>
        </is>
      </c>
      <c r="T22" s="4" t="inlineStr">
        <is>
          <t>Check FANUC compatibility</t>
        </is>
      </c>
      <c r="U22" s="4" t="inlineStr">
        <is>
          <t>Fully answer informational intent and create a natural path toward /en/product.</t>
        </is>
      </c>
      <c r="V22" s="4" t="n"/>
      <c r="W22" s="4" t="n"/>
      <c r="X22" s="4" t="n"/>
      <c r="Y22" s="4" t="n"/>
      <c r="Z22" s="4" t="inlineStr">
        <is>
          <t>Idea</t>
        </is>
      </c>
      <c r="AA22" s="4" t="inlineStr">
        <is>
          <t>Very High</t>
        </is>
      </c>
      <c r="AB22" s="70" t="n">
        <v>0</v>
      </c>
      <c r="AC22" s="4" t="n"/>
      <c r="AD22" s="4" t="n"/>
    </row>
    <row r="23">
      <c r="A23" s="4" t="inlineStr">
        <is>
          <t>EN-EC-020</t>
        </is>
      </c>
      <c r="B23" s="4" t="inlineStr">
        <is>
          <t>Week 4</t>
        </is>
      </c>
      <c r="C23" s="4" t="inlineStr">
        <is>
          <t>Friday</t>
        </is>
      </c>
      <c r="D23" s="4" t="inlineStr">
        <is>
          <t>FANUC Controller</t>
        </is>
      </c>
      <c r="E23" s="4" t="inlineStr">
        <is>
          <t>FANUC RS232 Parameters: What to Verify Before File Transfer</t>
        </is>
      </c>
      <c r="F23" s="4" t="inlineStr">
        <is>
          <t>FANUC RS232 parameters</t>
        </is>
      </c>
      <c r="G23" s="4" t="inlineStr">
        <is>
          <t>FANUC I/O parameters, FANUC punch read settings, FANUC serial parameters</t>
        </is>
      </c>
      <c r="H23" s="4" t="inlineStr">
        <is>
          <t>Informational</t>
        </is>
      </c>
      <c r="I23" s="4" t="inlineStr">
        <is>
          <t>Awareness</t>
        </is>
      </c>
      <c r="J23" s="4" t="inlineStr">
        <is>
          <t>Technical Tutorial</t>
        </is>
      </c>
      <c r="K23" s="4" t="inlineStr">
        <is>
          <t>FANUC RS232 Parameters: What to Verify Before File Transfer</t>
        </is>
      </c>
      <c r="L23" s="4">
        <f>LEN(K23)</f>
        <v/>
      </c>
      <c r="M23" s="4" t="inlineStr">
        <is>
          <t>Practical guide to FANUC RS232 parameters: communication setup, transfer workflow, settings to verify, and common issues when moving programs to FANUC CNCs.</t>
        </is>
      </c>
      <c r="N23" s="4">
        <f>LEN(M23)</f>
        <v/>
      </c>
      <c r="O23" s="4" t="inlineStr">
        <is>
          <t>fanuc-rs232-parameters</t>
        </is>
      </c>
      <c r="P23" s="4" t="inlineStr">
        <is>
          <t>FANUC RS232 Parameters: What to Verify Before File Transfer</t>
        </is>
      </c>
      <c r="Q23" s="4" t="inlineStr">
        <is>
          <t>Before you configure FANUC RS232 parameters
Communication paths and required hardware
Controller-side settings to verify
PC, DNC, or network-side setup
Step-by-step transfer workflow
Common errors and troubleshooting
Security and backup checks
Frequently asked questions</t>
        </is>
      </c>
      <c r="R23" s="4" t="inlineStr">
        <is>
          <t>/en/product | Software: /en/software | Contact: /en/contact | Related: /en/blog/rs232-cnc-file-transfer</t>
        </is>
      </c>
      <c r="S23" s="4" t="inlineStr">
        <is>
          <t>Official controller documentation / ElecIO technical validation | https://www.fanucamerica.com/products/software/program-transfer-tool</t>
        </is>
      </c>
      <c r="T23" s="4" t="inlineStr">
        <is>
          <t>Check FANUC compatibility</t>
        </is>
      </c>
      <c r="U23" s="4" t="inlineStr">
        <is>
          <t>Fully answer informational intent and create a natural path toward /en/product.</t>
        </is>
      </c>
      <c r="V23" s="4" t="n"/>
      <c r="W23" s="4" t="n"/>
      <c r="X23" s="4" t="n"/>
      <c r="Y23" s="4" t="n"/>
      <c r="Z23" s="4" t="inlineStr">
        <is>
          <t>Idea</t>
        </is>
      </c>
      <c r="AA23" s="4" t="inlineStr">
        <is>
          <t>High</t>
        </is>
      </c>
      <c r="AB23" s="70" t="n">
        <v>0</v>
      </c>
      <c r="AC23" s="4" t="n"/>
      <c r="AD23" s="4" t="n"/>
    </row>
    <row r="24">
      <c r="A24" s="4" t="inlineStr">
        <is>
          <t>EN-EC-021</t>
        </is>
      </c>
      <c r="B24" s="4" t="inlineStr">
        <is>
          <t>Week 5</t>
        </is>
      </c>
      <c r="C24" s="4" t="inlineStr">
        <is>
          <t>Monday</t>
        </is>
      </c>
      <c r="D24" s="4" t="inlineStr">
        <is>
          <t>FANUC Controller</t>
        </is>
      </c>
      <c r="E24" s="4" t="inlineStr">
        <is>
          <t>FANUC Baud Rate Settings: Matching the CNC and DNC Side</t>
        </is>
      </c>
      <c r="F24" s="4" t="inlineStr">
        <is>
          <t>FANUC baud rate settings</t>
        </is>
      </c>
      <c r="G24" s="4" t="inlineStr">
        <is>
          <t>FANUC baud rate, FANUC parity settings, FANUC serial communication speed</t>
        </is>
      </c>
      <c r="H24" s="4" t="inlineStr">
        <is>
          <t>Informational</t>
        </is>
      </c>
      <c r="I24" s="4" t="inlineStr">
        <is>
          <t>Awareness</t>
        </is>
      </c>
      <c r="J24" s="4" t="inlineStr">
        <is>
          <t>Technical Tutorial</t>
        </is>
      </c>
      <c r="K24" s="4" t="inlineStr">
        <is>
          <t>FANUC Baud Rate Settings: Matching the CNC and DNC Side</t>
        </is>
      </c>
      <c r="L24" s="4">
        <f>LEN(K24)</f>
        <v/>
      </c>
      <c r="M24" s="4" t="inlineStr">
        <is>
          <t>Practical guide to FANUC baud rate settings: communication setup, transfer workflow, settings to verify, and common issues when moving programs to FANUC CNCs.</t>
        </is>
      </c>
      <c r="N24" s="4">
        <f>LEN(M24)</f>
        <v/>
      </c>
      <c r="O24" s="4" t="inlineStr">
        <is>
          <t>fanuc-baud-rate-settings</t>
        </is>
      </c>
      <c r="P24" s="4" t="inlineStr">
        <is>
          <t>FANUC Baud Rate Settings: Matching the CNC and DNC Side</t>
        </is>
      </c>
      <c r="Q24" s="4" t="inlineStr">
        <is>
          <t>Before you configure FANUC baud rate settings
Communication paths and required hardware
Controller-side settings to verify
PC, DNC, or network-side setup
Step-by-step transfer workflow
Common errors and troubleshooting
Security and backup checks
Frequently asked questions</t>
        </is>
      </c>
      <c r="R24" s="4" t="inlineStr">
        <is>
          <t>/en/product | Software: /en/software | Contact: /en/contact | Related: /en/blog/rs232-cnc-file-transfer</t>
        </is>
      </c>
      <c r="S24" s="4" t="inlineStr">
        <is>
          <t>Official controller documentation / ElecIO technical validation | https://www.fanucamerica.com/products/software/program-transfer-tool</t>
        </is>
      </c>
      <c r="T24" s="4" t="inlineStr">
        <is>
          <t>Check FANUC compatibility</t>
        </is>
      </c>
      <c r="U24" s="4" t="inlineStr">
        <is>
          <t>Fully answer informational intent and create a natural path toward /en/product.</t>
        </is>
      </c>
      <c r="V24" s="4" t="n"/>
      <c r="W24" s="4" t="n"/>
      <c r="X24" s="4" t="n"/>
      <c r="Y24" s="4" t="n"/>
      <c r="Z24" s="4" t="inlineStr">
        <is>
          <t>Idea</t>
        </is>
      </c>
      <c r="AA24" s="4" t="inlineStr">
        <is>
          <t>Medium</t>
        </is>
      </c>
      <c r="AB24" s="70" t="n">
        <v>0</v>
      </c>
      <c r="AC24" s="4" t="n"/>
      <c r="AD24" s="4" t="n"/>
    </row>
    <row r="25">
      <c r="A25" s="4" t="inlineStr">
        <is>
          <t>EN-EC-022</t>
        </is>
      </c>
      <c r="B25" s="4" t="inlineStr">
        <is>
          <t>Week 5</t>
        </is>
      </c>
      <c r="C25" s="4" t="inlineStr">
        <is>
          <t>Tuesday</t>
        </is>
      </c>
      <c r="D25" s="4" t="inlineStr">
        <is>
          <t>Siemens Controller</t>
        </is>
      </c>
      <c r="E25" s="4" t="inlineStr">
        <is>
          <t>SINUMERIK Program Transfer: Network, USB, and DNC Workflows</t>
        </is>
      </c>
      <c r="F25" s="4" t="inlineStr">
        <is>
          <t>SINUMERIK program transfer</t>
        </is>
      </c>
      <c r="G25" s="4" t="inlineStr">
        <is>
          <t>Siemens CNC program transfer, SINUMERIK file transfer, transfer NC program Siemens</t>
        </is>
      </c>
      <c r="H25" s="4" t="inlineStr">
        <is>
          <t>Informational</t>
        </is>
      </c>
      <c r="I25" s="4" t="inlineStr">
        <is>
          <t>Awareness</t>
        </is>
      </c>
      <c r="J25" s="4" t="inlineStr">
        <is>
          <t>Technical Tutorial</t>
        </is>
      </c>
      <c r="K25" s="4" t="inlineStr">
        <is>
          <t>SINUMERIK Program Transfer: Network, USB, and DNC Workflows</t>
        </is>
      </c>
      <c r="L25" s="4">
        <f>LEN(K25)</f>
        <v/>
      </c>
      <c r="M25" s="4" t="inlineStr">
        <is>
          <t>Practical guide to SINUMERIK program transfer: SINUMERIK file-transfer options, network workflow, compatibility checks, and common implementation considerations.</t>
        </is>
      </c>
      <c r="N25" s="4">
        <f>LEN(M25)</f>
        <v/>
      </c>
      <c r="O25" s="4" t="inlineStr">
        <is>
          <t>sinumerik-program-transfer</t>
        </is>
      </c>
      <c r="P25" s="4" t="inlineStr">
        <is>
          <t>SINUMERIK Program Transfer: Network, USB, and DNC Workflows</t>
        </is>
      </c>
      <c r="Q25" s="4" t="inlineStr">
        <is>
          <t>Before you configure SINUMERIK program transfer
Communication paths and required hardware
Controller-side settings to verify
PC, DNC, or network-side setup
Step-by-step transfer workflow
Common errors and troubleshooting
Security and backup checks
Frequently asked questions</t>
        </is>
      </c>
      <c r="R25" s="4" t="inlineStr">
        <is>
          <t>/en/product | Software: /en/software | Contact: /en/contact | Related: /en/blog/sinumerik-program-transfer</t>
        </is>
      </c>
      <c r="S25" s="4" t="inlineStr">
        <is>
          <t>Official controller documentation / ElecIO technical validation | https://support.industry.siemens.com/cs/attachments/28739208/FBDN_0410_en.pdf</t>
        </is>
      </c>
      <c r="T25" s="4" t="inlineStr">
        <is>
          <t>Check Siemens compatibility</t>
        </is>
      </c>
      <c r="U25" s="4" t="inlineStr">
        <is>
          <t>Fully answer informational intent and create a natural path toward /en/product.</t>
        </is>
      </c>
      <c r="V25" s="4" t="n"/>
      <c r="W25" s="4" t="n"/>
      <c r="X25" s="4" t="n"/>
      <c r="Y25" s="4" t="n"/>
      <c r="Z25" s="4" t="inlineStr">
        <is>
          <t>Idea</t>
        </is>
      </c>
      <c r="AA25" s="4" t="inlineStr">
        <is>
          <t>High</t>
        </is>
      </c>
      <c r="AB25" s="70" t="n">
        <v>0</v>
      </c>
      <c r="AC25" s="4" t="n"/>
      <c r="AD25" s="4" t="n"/>
    </row>
    <row r="26">
      <c r="A26" s="4" t="inlineStr">
        <is>
          <t>EN-EC-023</t>
        </is>
      </c>
      <c r="B26" s="4" t="inlineStr">
        <is>
          <t>Week 5</t>
        </is>
      </c>
      <c r="C26" s="4" t="inlineStr">
        <is>
          <t>Wednesday</t>
        </is>
      </c>
      <c r="D26" s="4" t="inlineStr">
        <is>
          <t>Siemens Controller</t>
        </is>
      </c>
      <c r="E26" s="4" t="inlineStr">
        <is>
          <t>Siemens CNC Network File Transfer: Planning a Reliable Workflow</t>
        </is>
      </c>
      <c r="F26" s="4" t="inlineStr">
        <is>
          <t>Siemens CNC network file transfer</t>
        </is>
      </c>
      <c r="G26" s="4" t="inlineStr">
        <is>
          <t>SINUMERIK network transfer, Siemens CNC Ethernet, Siemens NC file transfer</t>
        </is>
      </c>
      <c r="H26" s="4" t="inlineStr">
        <is>
          <t>Informational</t>
        </is>
      </c>
      <c r="I26" s="4" t="inlineStr">
        <is>
          <t>Awareness</t>
        </is>
      </c>
      <c r="J26" s="4" t="inlineStr">
        <is>
          <t>Technical Tutorial</t>
        </is>
      </c>
      <c r="K26" s="4" t="inlineStr">
        <is>
          <t>Siemens CNC Network File Transfer: Planning a Reliable Workflow</t>
        </is>
      </c>
      <c r="L26" s="4">
        <f>LEN(K26)</f>
        <v/>
      </c>
      <c r="M26" s="4" t="inlineStr">
        <is>
          <t>Practical guide to Siemens CNC network file transfer: SINUMERIK file-transfer options, network workflow, compatibility checks, and common implementation considerations.</t>
        </is>
      </c>
      <c r="N26" s="4">
        <f>LEN(M26)</f>
        <v/>
      </c>
      <c r="O26" s="4" t="inlineStr">
        <is>
          <t>siemens-cnc-network-file-transfer</t>
        </is>
      </c>
      <c r="P26" s="4" t="inlineStr">
        <is>
          <t>Siemens CNC Network File Transfer: Planning a Reliable Workflow</t>
        </is>
      </c>
      <c r="Q26" s="4" t="inlineStr">
        <is>
          <t>Before you configure Siemens CNC network file transfer
Communication paths and required hardware
Controller-side settings to verify
PC, DNC, or network-side setup
Step-by-step transfer workflow
Common errors and troubleshooting
Security and backup checks
Frequently asked questions</t>
        </is>
      </c>
      <c r="R26" s="4" t="inlineStr">
        <is>
          <t>/en/product | Software: /en/software | Contact: /en/contact | Related: /en/blog/sinumerik-program-transfer</t>
        </is>
      </c>
      <c r="S26" s="4" t="inlineStr">
        <is>
          <t>Official controller documentation / ElecIO technical validation | https://support.industry.siemens.com/cs/attachments/28739208/FBDN_0410_en.pdf</t>
        </is>
      </c>
      <c r="T26" s="4" t="inlineStr">
        <is>
          <t>Check Siemens compatibility</t>
        </is>
      </c>
      <c r="U26" s="4" t="inlineStr">
        <is>
          <t>Fully answer informational intent and create a natural path toward /en/product.</t>
        </is>
      </c>
      <c r="V26" s="4" t="n"/>
      <c r="W26" s="4" t="n"/>
      <c r="X26" s="4" t="n"/>
      <c r="Y26" s="4" t="n"/>
      <c r="Z26" s="4" t="inlineStr">
        <is>
          <t>Idea</t>
        </is>
      </c>
      <c r="AA26" s="4" t="inlineStr">
        <is>
          <t>High</t>
        </is>
      </c>
      <c r="AB26" s="70" t="n">
        <v>0</v>
      </c>
      <c r="AC26" s="4" t="n"/>
      <c r="AD26" s="4" t="n"/>
    </row>
    <row r="27">
      <c r="A27" s="4" t="inlineStr">
        <is>
          <t>EN-EC-024</t>
        </is>
      </c>
      <c r="B27" s="4" t="inlineStr">
        <is>
          <t>Week 5</t>
        </is>
      </c>
      <c r="C27" s="4" t="inlineStr">
        <is>
          <t>Thursday</t>
        </is>
      </c>
      <c r="D27" s="4" t="inlineStr">
        <is>
          <t>HEIDENHAIN Controller</t>
        </is>
      </c>
      <c r="E27" s="4" t="inlineStr">
        <is>
          <t>HEIDENHAIN Program Transfer: Serial and Network Options</t>
        </is>
      </c>
      <c r="F27" s="4" t="inlineStr">
        <is>
          <t>HEIDENHAIN program transfer</t>
        </is>
      </c>
      <c r="G27" s="4" t="inlineStr">
        <is>
          <t>HEIDENHAIN file transfer, TNC program transfer, TNCremo transfer</t>
        </is>
      </c>
      <c r="H27" s="4" t="inlineStr">
        <is>
          <t>Informational</t>
        </is>
      </c>
      <c r="I27" s="4" t="inlineStr">
        <is>
          <t>Awareness</t>
        </is>
      </c>
      <c r="J27" s="4" t="inlineStr">
        <is>
          <t>Technical Tutorial</t>
        </is>
      </c>
      <c r="K27" s="4" t="inlineStr">
        <is>
          <t>HEIDENHAIN Program Transfer: Serial and Network Options</t>
        </is>
      </c>
      <c r="L27" s="4">
        <f>LEN(K27)</f>
        <v/>
      </c>
      <c r="M27" s="4" t="inlineStr">
        <is>
          <t>Practical guide to HEIDENHAIN program transfer: TNC file-transfer options, TNCremo workflow, network or serial setup, and compatibility considerations.</t>
        </is>
      </c>
      <c r="N27" s="4">
        <f>LEN(M27)</f>
        <v/>
      </c>
      <c r="O27" s="4" t="inlineStr">
        <is>
          <t>heidenhain-program-transfer</t>
        </is>
      </c>
      <c r="P27" s="4" t="inlineStr">
        <is>
          <t>HEIDENHAIN Program Transfer: Serial and Network Options</t>
        </is>
      </c>
      <c r="Q27" s="4" t="inlineStr">
        <is>
          <t>Before you configure HEIDENHAIN program transfer
Communication paths and required hardware
Controller-side settings to verify
PC, DNC, or network-side setup
Step-by-step transfer workflow
Common errors and troubleshooting
Security and backup checks
Frequently asked questions</t>
        </is>
      </c>
      <c r="R27" s="4" t="inlineStr">
        <is>
          <t>/en/product | Software: /en/software | Contact: /en/contact | Related: /en/blog/heidenhain-program-transfer</t>
        </is>
      </c>
      <c r="S27" s="4" t="inlineStr">
        <is>
          <t>Official controller documentation / ElecIO technical validation | https://www.klartext-portal.com/tips/nc-solutions/transferring-files-directly-from-the-explorer-to-the-control-using-tncremo</t>
        </is>
      </c>
      <c r="T27" s="4" t="inlineStr">
        <is>
          <t>Check HEIDENHAIN compatibility</t>
        </is>
      </c>
      <c r="U27" s="4" t="inlineStr">
        <is>
          <t>Fully answer informational intent and create a natural path toward /en/product.</t>
        </is>
      </c>
      <c r="V27" s="4" t="n"/>
      <c r="W27" s="4" t="n"/>
      <c r="X27" s="4" t="n"/>
      <c r="Y27" s="4" t="n"/>
      <c r="Z27" s="4" t="inlineStr">
        <is>
          <t>Idea</t>
        </is>
      </c>
      <c r="AA27" s="4" t="inlineStr">
        <is>
          <t>High</t>
        </is>
      </c>
      <c r="AB27" s="70" t="n">
        <v>0</v>
      </c>
      <c r="AC27" s="4" t="n"/>
      <c r="AD27" s="4" t="n"/>
    </row>
    <row r="28">
      <c r="A28" s="4" t="inlineStr">
        <is>
          <t>EN-EC-025</t>
        </is>
      </c>
      <c r="B28" s="4" t="inlineStr">
        <is>
          <t>Week 5</t>
        </is>
      </c>
      <c r="C28" s="4" t="inlineStr">
        <is>
          <t>Friday</t>
        </is>
      </c>
      <c r="D28" s="4" t="inlineStr">
        <is>
          <t>HEIDENHAIN Controller</t>
        </is>
      </c>
      <c r="E28" s="4" t="inlineStr">
        <is>
          <t>TNCremo File Transfer: A Practical Workflow for HEIDENHAIN Controls</t>
        </is>
      </c>
      <c r="F28" s="4" t="inlineStr">
        <is>
          <t>TNCremo file transfer</t>
        </is>
      </c>
      <c r="G28" s="4" t="inlineStr">
        <is>
          <t>TNCremo data transfer, HEIDENHAIN TNCremo, transfer files to TNC control</t>
        </is>
      </c>
      <c r="H28" s="4" t="inlineStr">
        <is>
          <t>Informational</t>
        </is>
      </c>
      <c r="I28" s="4" t="inlineStr">
        <is>
          <t>Awareness</t>
        </is>
      </c>
      <c r="J28" s="4" t="inlineStr">
        <is>
          <t>Technical Tutorial</t>
        </is>
      </c>
      <c r="K28" s="4" t="inlineStr">
        <is>
          <t>TNCremo File Transfer: A Practical Workflow for HEIDENHAIN Controls</t>
        </is>
      </c>
      <c r="L28" s="4">
        <f>LEN(K28)</f>
        <v/>
      </c>
      <c r="M28" s="4" t="inlineStr">
        <is>
          <t>Practical guide to TNCremo file transfer: TNC file-transfer options, TNCremo workflow, network or serial setup, and compatibility considerations.</t>
        </is>
      </c>
      <c r="N28" s="4">
        <f>LEN(M28)</f>
        <v/>
      </c>
      <c r="O28" s="4" t="inlineStr">
        <is>
          <t>tncremo-file-transfer</t>
        </is>
      </c>
      <c r="P28" s="4" t="inlineStr">
        <is>
          <t>TNCremo File Transfer: A Practical Workflow for HEIDENHAIN Controls</t>
        </is>
      </c>
      <c r="Q28" s="4" t="inlineStr">
        <is>
          <t>Before you configure TNCremo file transfer
Communication paths and required hardware
Controller-side settings to verify
PC, DNC, or network-side setup
Step-by-step transfer workflow
Common errors and troubleshooting
Security and backup checks
Frequently asked questions</t>
        </is>
      </c>
      <c r="R28" s="4" t="inlineStr">
        <is>
          <t>/en/product | Software: /en/software | Contact: /en/contact | Related: /en/blog/heidenhain-program-transfer</t>
        </is>
      </c>
      <c r="S28" s="4" t="inlineStr">
        <is>
          <t>Official controller documentation / ElecIO technical validation | https://www.klartext-portal.com/tips/nc-solutions/transferring-files-directly-from-the-explorer-to-the-control-using-tncremo</t>
        </is>
      </c>
      <c r="T28" s="4" t="inlineStr">
        <is>
          <t>Check HEIDENHAIN compatibility</t>
        </is>
      </c>
      <c r="U28" s="4" t="inlineStr">
        <is>
          <t>Fully answer informational intent and create a natural path toward /en/product.</t>
        </is>
      </c>
      <c r="V28" s="4" t="n"/>
      <c r="W28" s="4" t="n"/>
      <c r="X28" s="4" t="n"/>
      <c r="Y28" s="4" t="n"/>
      <c r="Z28" s="4" t="inlineStr">
        <is>
          <t>Idea</t>
        </is>
      </c>
      <c r="AA28" s="4" t="inlineStr">
        <is>
          <t>High</t>
        </is>
      </c>
      <c r="AB28" s="70" t="n">
        <v>0</v>
      </c>
      <c r="AC28" s="4" t="n"/>
      <c r="AD28" s="4" t="n"/>
    </row>
    <row r="29">
      <c r="A29" s="4" t="inlineStr">
        <is>
          <t>EN-EC-026</t>
        </is>
      </c>
      <c r="B29" s="4" t="inlineStr">
        <is>
          <t>Week 6</t>
        </is>
      </c>
      <c r="C29" s="4" t="inlineStr">
        <is>
          <t>Monday</t>
        </is>
      </c>
      <c r="D29" s="4" t="inlineStr">
        <is>
          <t>HEIDENHAIN Controller</t>
        </is>
      </c>
      <c r="E29" s="4" t="inlineStr">
        <is>
          <t>HEIDENHAIN Network Setup for Program Transfer</t>
        </is>
      </c>
      <c r="F29" s="4" t="inlineStr">
        <is>
          <t>HEIDENHAIN network setup</t>
        </is>
      </c>
      <c r="G29" s="4" t="inlineStr">
        <is>
          <t>TNC network setup, HEIDENHAIN Ethernet, TNCremo network connection</t>
        </is>
      </c>
      <c r="H29" s="4" t="inlineStr">
        <is>
          <t>Informational</t>
        </is>
      </c>
      <c r="I29" s="4" t="inlineStr">
        <is>
          <t>Awareness</t>
        </is>
      </c>
      <c r="J29" s="4" t="inlineStr">
        <is>
          <t>Technical Tutorial</t>
        </is>
      </c>
      <c r="K29" s="4" t="inlineStr">
        <is>
          <t>HEIDENHAIN Network Setup for Program Transfer</t>
        </is>
      </c>
      <c r="L29" s="4">
        <f>LEN(K29)</f>
        <v/>
      </c>
      <c r="M29" s="4" t="inlineStr">
        <is>
          <t>Practical guide to HEIDENHAIN network setup: TNC file-transfer options, TNCremo workflow, network or serial setup, and compatibility considerations.</t>
        </is>
      </c>
      <c r="N29" s="4">
        <f>LEN(M29)</f>
        <v/>
      </c>
      <c r="O29" s="4" t="inlineStr">
        <is>
          <t>heidenhain-network-setup</t>
        </is>
      </c>
      <c r="P29" s="4" t="inlineStr">
        <is>
          <t>HEIDENHAIN Network Setup for Program Transfer</t>
        </is>
      </c>
      <c r="Q29" s="4" t="inlineStr">
        <is>
          <t>Before you configure HEIDENHAIN network setup
Communication paths and required hardware
Controller-side settings to verify
PC, DNC, or network-side setup
Step-by-step transfer workflow
Common errors and troubleshooting
Security and backup checks
Frequently asked questions</t>
        </is>
      </c>
      <c r="R29" s="4" t="inlineStr">
        <is>
          <t>/en/product | Software: /en/software | Contact: /en/contact | Related: /en/blog/heidenhain-program-transfer</t>
        </is>
      </c>
      <c r="S29" s="4" t="inlineStr">
        <is>
          <t>Official controller documentation / ElecIO technical validation | https://www.klartext-portal.com/tips/nc-solutions/transferring-files-directly-from-the-explorer-to-the-control-using-tncremo</t>
        </is>
      </c>
      <c r="T29" s="4" t="inlineStr">
        <is>
          <t>Check HEIDENHAIN compatibility</t>
        </is>
      </c>
      <c r="U29" s="4" t="inlineStr">
        <is>
          <t>Fully answer informational intent and create a natural path toward /en/product.</t>
        </is>
      </c>
      <c r="V29" s="4" t="n"/>
      <c r="W29" s="4" t="n"/>
      <c r="X29" s="4" t="n"/>
      <c r="Y29" s="4" t="n"/>
      <c r="Z29" s="4" t="inlineStr">
        <is>
          <t>Idea</t>
        </is>
      </c>
      <c r="AA29" s="4" t="inlineStr">
        <is>
          <t>Medium</t>
        </is>
      </c>
      <c r="AB29" s="70" t="n">
        <v>0</v>
      </c>
      <c r="AC29" s="4" t="n"/>
      <c r="AD29" s="4" t="n"/>
    </row>
    <row r="30">
      <c r="A30" s="4" t="inlineStr">
        <is>
          <t>EN-EC-027</t>
        </is>
      </c>
      <c r="B30" s="4" t="inlineStr">
        <is>
          <t>Week 6</t>
        </is>
      </c>
      <c r="C30" s="4" t="inlineStr">
        <is>
          <t>Tuesday</t>
        </is>
      </c>
      <c r="D30" s="4" t="inlineStr">
        <is>
          <t>Controller Compatibility</t>
        </is>
      </c>
      <c r="E30" s="4" t="inlineStr">
        <is>
          <t>Mitsubishi CNC Program Transfer: RS232 and Network Considerations</t>
        </is>
      </c>
      <c r="F30" s="4" t="inlineStr">
        <is>
          <t>Mitsubishi CNC program transfer</t>
        </is>
      </c>
      <c r="G30" s="4" t="inlineStr">
        <is>
          <t>MELDAS program transfer, Mitsubishi CNC RS232, Mitsubishi CNC Ethernet transfer</t>
        </is>
      </c>
      <c r="H30" s="4" t="inlineStr">
        <is>
          <t>Informational</t>
        </is>
      </c>
      <c r="I30" s="4" t="inlineStr">
        <is>
          <t>Awareness</t>
        </is>
      </c>
      <c r="J30" s="4" t="inlineStr">
        <is>
          <t>Technical Tutorial</t>
        </is>
      </c>
      <c r="K30" s="4" t="inlineStr">
        <is>
          <t>Mitsubishi CNC Program Transfer: RS232 and Network Considerations</t>
        </is>
      </c>
      <c r="L30" s="4">
        <f>LEN(K30)</f>
        <v/>
      </c>
      <c r="M30" s="4" t="inlineStr">
        <is>
          <t>Guide to Mitsubishi CNC program transfer, covering available transfer paths, controller-specific checks, networking options, and DNC compatibility considerations.</t>
        </is>
      </c>
      <c r="N30" s="4">
        <f>LEN(M30)</f>
        <v/>
      </c>
      <c r="O30" s="4" t="inlineStr">
        <is>
          <t>mitsubishi-cnc-program-transfer</t>
        </is>
      </c>
      <c r="P30" s="4" t="inlineStr">
        <is>
          <t>Mitsubishi CNC Program Transfer: RS232 and Network Considerations</t>
        </is>
      </c>
      <c r="Q30" s="4" t="inlineStr">
        <is>
          <t>Before you configure Mitsubishi CNC program transfer
Communication paths and required hardware
Controller-side settings to verify
PC, DNC, or network-side setup
Step-by-step transfer workflow
Common errors and troubleshooting
Security and backup checks
Frequently asked questions</t>
        </is>
      </c>
      <c r="R30" s="4" t="inlineStr">
        <is>
          <t>/en/product | Software: /en/software | Contact: /en/contact</t>
        </is>
      </c>
      <c r="S30" s="4" t="inlineStr">
        <is>
          <t>Official controller documentation / ElecIO technical validation | https://www.mitsubishielectric.com/dl/fa/document/manual/cnc/bnp-b2183%28eng%29/bnp-b2183%28eng%29k.pdf</t>
        </is>
      </c>
      <c r="T30" s="4" t="inlineStr">
        <is>
          <t>Check Mitsubishi compatibility</t>
        </is>
      </c>
      <c r="U30" s="4" t="inlineStr">
        <is>
          <t>Fully answer informational intent and create a natural path toward /en/product.</t>
        </is>
      </c>
      <c r="V30" s="4" t="n"/>
      <c r="W30" s="4" t="n"/>
      <c r="X30" s="4" t="n"/>
      <c r="Y30" s="4" t="n"/>
      <c r="Z30" s="4" t="inlineStr">
        <is>
          <t>Idea</t>
        </is>
      </c>
      <c r="AA30" s="4" t="inlineStr">
        <is>
          <t>Medium</t>
        </is>
      </c>
      <c r="AB30" s="70" t="n">
        <v>0</v>
      </c>
      <c r="AC30" s="4" t="n"/>
      <c r="AD30" s="4" t="n"/>
    </row>
    <row r="31">
      <c r="A31" s="4" t="inlineStr">
        <is>
          <t>EN-EC-028</t>
        </is>
      </c>
      <c r="B31" s="4" t="inlineStr">
        <is>
          <t>Week 6</t>
        </is>
      </c>
      <c r="C31" s="4" t="inlineStr">
        <is>
          <t>Wednesday</t>
        </is>
      </c>
      <c r="D31" s="4" t="inlineStr">
        <is>
          <t>Controller Compatibility</t>
        </is>
      </c>
      <c r="E31" s="4" t="inlineStr">
        <is>
          <t>Haas CNC Program Transfer: Ethernet, USB, and Legacy Options</t>
        </is>
      </c>
      <c r="F31" s="4" t="inlineStr">
        <is>
          <t>Haas CNC program transfer</t>
        </is>
      </c>
      <c r="G31" s="4" t="inlineStr">
        <is>
          <t>Haas file transfer, Haas Ethernet transfer, Haas program upload download</t>
        </is>
      </c>
      <c r="H31" s="4" t="inlineStr">
        <is>
          <t>Informational</t>
        </is>
      </c>
      <c r="I31" s="4" t="inlineStr">
        <is>
          <t>Awareness</t>
        </is>
      </c>
      <c r="J31" s="4" t="inlineStr">
        <is>
          <t>Technical Tutorial</t>
        </is>
      </c>
      <c r="K31" s="4" t="inlineStr">
        <is>
          <t>Haas CNC Program Transfer: Ethernet, USB, and Legacy Options</t>
        </is>
      </c>
      <c r="L31" s="4">
        <f>LEN(K31)</f>
        <v/>
      </c>
      <c r="M31" s="4" t="inlineStr">
        <is>
          <t>Guide to Haas CNC program transfer, covering available transfer paths, controller-specific checks, networking options, and DNC compatibility considerations.</t>
        </is>
      </c>
      <c r="N31" s="4">
        <f>LEN(M31)</f>
        <v/>
      </c>
      <c r="O31" s="4" t="inlineStr">
        <is>
          <t>haas-cnc-program-transfer</t>
        </is>
      </c>
      <c r="P31" s="4" t="inlineStr">
        <is>
          <t>Haas CNC Program Transfer: Ethernet, USB, and Legacy Options</t>
        </is>
      </c>
      <c r="Q31" s="4" t="inlineStr">
        <is>
          <t>Before you configure Haas CNC program transfer
Communication paths and required hardware
Controller-side settings to verify
PC, DNC, or network-side setup
Step-by-step transfer workflow
Common errors and troubleshooting
Security and backup checks
Frequently asked questions</t>
        </is>
      </c>
      <c r="R31" s="4" t="inlineStr">
        <is>
          <t>/en/product | Software: /en/software | Contact: /en/contact</t>
        </is>
      </c>
      <c r="S31" s="4" t="inlineStr">
        <is>
          <t>Official controller documentation / ElecIO technical validation | https://www.haascnc.com/productivity/control/ethernet.html</t>
        </is>
      </c>
      <c r="T31" s="4" t="inlineStr">
        <is>
          <t>Check Haas compatibility</t>
        </is>
      </c>
      <c r="U31" s="4" t="inlineStr">
        <is>
          <t>Fully answer informational intent and create a natural path toward /en/product.</t>
        </is>
      </c>
      <c r="V31" s="4" t="n"/>
      <c r="W31" s="4" t="n"/>
      <c r="X31" s="4" t="n"/>
      <c r="Y31" s="4" t="n"/>
      <c r="Z31" s="4" t="inlineStr">
        <is>
          <t>Idea</t>
        </is>
      </c>
      <c r="AA31" s="4" t="inlineStr">
        <is>
          <t>Medium</t>
        </is>
      </c>
      <c r="AB31" s="70" t="n">
        <v>0</v>
      </c>
      <c r="AC31" s="4" t="n"/>
      <c r="AD31" s="4" t="n"/>
    </row>
    <row r="32">
      <c r="A32" s="4" t="inlineStr">
        <is>
          <t>EN-EC-029</t>
        </is>
      </c>
      <c r="B32" s="4" t="inlineStr">
        <is>
          <t>Week 6</t>
        </is>
      </c>
      <c r="C32" s="4" t="inlineStr">
        <is>
          <t>Thursday</t>
        </is>
      </c>
      <c r="D32" s="4" t="inlineStr">
        <is>
          <t>Controller Compatibility</t>
        </is>
      </c>
      <c r="E32" s="4" t="inlineStr">
        <is>
          <t>Charmilles Program Transfer: DNC and Serial Communication Basics</t>
        </is>
      </c>
      <c r="F32" s="4" t="inlineStr">
        <is>
          <t>Charmilles program transfer</t>
        </is>
      </c>
      <c r="G32" s="4" t="inlineStr">
        <is>
          <t>Charmilles DNC, EDM file transfer, Charmilles serial communication</t>
        </is>
      </c>
      <c r="H32" s="4" t="inlineStr">
        <is>
          <t>Informational</t>
        </is>
      </c>
      <c r="I32" s="4" t="inlineStr">
        <is>
          <t>Awareness</t>
        </is>
      </c>
      <c r="J32" s="4" t="inlineStr">
        <is>
          <t>Technical Tutorial</t>
        </is>
      </c>
      <c r="K32" s="4" t="inlineStr">
        <is>
          <t>Charmilles Program Transfer: DNC and Serial Communication Basics</t>
        </is>
      </c>
      <c r="L32" s="4">
        <f>LEN(K32)</f>
        <v/>
      </c>
      <c r="M32" s="4" t="inlineStr">
        <is>
          <t>Guide to Charmilles program transfer, covering available transfer paths, controller-specific checks, networking options, and DNC compatibility considerations.</t>
        </is>
      </c>
      <c r="N32" s="4">
        <f>LEN(M32)</f>
        <v/>
      </c>
      <c r="O32" s="4" t="inlineStr">
        <is>
          <t>charmilles-program-transfer</t>
        </is>
      </c>
      <c r="P32" s="4" t="inlineStr">
        <is>
          <t>Charmilles Program Transfer: DNC and Serial Communication Basics</t>
        </is>
      </c>
      <c r="Q32" s="4" t="inlineStr">
        <is>
          <t>Before you configure Charmilles program transfer
Communication paths and required hardware
Controller-side settings to verify
PC, DNC, or network-side setup
Step-by-step transfer workflow
Common errors and troubleshooting
Security and backup checks
Frequently asked questions</t>
        </is>
      </c>
      <c r="R32" s="4" t="inlineStr">
        <is>
          <t>/en/product | Software: /en/software | Contact: /en/contact</t>
        </is>
      </c>
      <c r="S32" s="4" t="inlineStr">
        <is>
          <t>Official controller documentation / ElecIO technical validation | https://www.cimco.com/software/cimco-dnc-max/</t>
        </is>
      </c>
      <c r="T32" s="4" t="inlineStr">
        <is>
          <t>Check Charmilles compatibility</t>
        </is>
      </c>
      <c r="U32" s="4" t="inlineStr">
        <is>
          <t>Fully answer informational intent and create a natural path toward /en/product.</t>
        </is>
      </c>
      <c r="V32" s="4" t="n"/>
      <c r="W32" s="4" t="n"/>
      <c r="X32" s="4" t="n"/>
      <c r="Y32" s="4" t="n"/>
      <c r="Z32" s="4" t="inlineStr">
        <is>
          <t>Idea</t>
        </is>
      </c>
      <c r="AA32" s="4" t="inlineStr">
        <is>
          <t>Medium</t>
        </is>
      </c>
      <c r="AB32" s="70" t="n">
        <v>0</v>
      </c>
      <c r="AC32" s="4" t="n"/>
      <c r="AD32" s="4" t="n"/>
    </row>
    <row r="33">
      <c r="A33" s="4" t="inlineStr">
        <is>
          <t>EN-EC-030</t>
        </is>
      </c>
      <c r="B33" s="4" t="inlineStr">
        <is>
          <t>Week 6</t>
        </is>
      </c>
      <c r="C33" s="4" t="inlineStr">
        <is>
          <t>Friday</t>
        </is>
      </c>
      <c r="D33" s="4" t="inlineStr">
        <is>
          <t>Security &amp; Backup</t>
        </is>
      </c>
      <c r="E33" s="4" t="inlineStr">
        <is>
          <t>CNC Program Backup: How to Protect NC Files and Proven Programs</t>
        </is>
      </c>
      <c r="F33" s="4" t="inlineStr">
        <is>
          <t>CNC program backup</t>
        </is>
      </c>
      <c r="G33" s="4" t="inlineStr">
        <is>
          <t>backup CNC programs, NC program backup, G-code backup, CNC file archive</t>
        </is>
      </c>
      <c r="H33" s="4" t="inlineStr">
        <is>
          <t>Informational</t>
        </is>
      </c>
      <c r="I33" s="4" t="inlineStr">
        <is>
          <t>Awareness</t>
        </is>
      </c>
      <c r="J33" s="4" t="inlineStr">
        <is>
          <t>Comprehensive Guide</t>
        </is>
      </c>
      <c r="K33" s="4" t="inlineStr">
        <is>
          <t>CNC Program Backup: How to Protect NC Files and Proven Programs</t>
        </is>
      </c>
      <c r="L33" s="4">
        <f>LEN(K33)</f>
        <v/>
      </c>
      <c r="M33" s="4" t="inlineStr">
        <is>
          <t>Learn how CNC program backup supports safer CNC operations with controlled access, backup discipline, recovery planning, and reduced file-handling risk.</t>
        </is>
      </c>
      <c r="N33" s="4">
        <f>LEN(M33)</f>
        <v/>
      </c>
      <c r="O33" s="4" t="inlineStr">
        <is>
          <t>cnc-program-backup</t>
        </is>
      </c>
      <c r="P33" s="4" t="inlineStr">
        <is>
          <t>CNC Program Backup: How to Protect NC Files and Proven Programs</t>
        </is>
      </c>
      <c r="Q33" s="4" t="inlineStr">
        <is>
          <t>What problem does CNC program backup solve?
Files, users, and workflows involved
Recommended control and approval process
Backup, revision, and recovery practices
Common risks and failure modes
Implementation checklist
Frequently asked questions</t>
        </is>
      </c>
      <c r="R33" s="4" t="inlineStr">
        <is>
          <t>/en/software | Product page: /en/product | Contact: /en/contact</t>
        </is>
      </c>
      <c r="S33" s="4" t="inlineStr">
        <is>
          <t>Official controller documentation / ElecIO technical validation | https://www.cimco.com/documentation/documents/cimco_nc-base/brochures/en/cimco-nc-base-brochure-en.pdf</t>
        </is>
      </c>
      <c r="T33" s="4" t="inlineStr">
        <is>
          <t>Request a demo</t>
        </is>
      </c>
      <c r="U33" s="4" t="inlineStr">
        <is>
          <t>Fully answer informational intent and create a natural path toward /en/software.</t>
        </is>
      </c>
      <c r="V33" s="4" t="n"/>
      <c r="W33" s="4" t="n"/>
      <c r="X33" s="4" t="n"/>
      <c r="Y33" s="4" t="n"/>
      <c r="Z33" s="4" t="inlineStr">
        <is>
          <t>Idea</t>
        </is>
      </c>
      <c r="AA33" s="4" t="inlineStr">
        <is>
          <t>High</t>
        </is>
      </c>
      <c r="AB33" s="70" t="n">
        <v>0</v>
      </c>
      <c r="AC33" s="4" t="n"/>
      <c r="AD33" s="4" t="n"/>
    </row>
    <row r="34">
      <c r="A34" s="4" t="inlineStr">
        <is>
          <t>EN-EC-031</t>
        </is>
      </c>
      <c r="B34" s="4" t="inlineStr">
        <is>
          <t>Week 7</t>
        </is>
      </c>
      <c r="C34" s="4" t="inlineStr">
        <is>
          <t>Monday</t>
        </is>
      </c>
      <c r="D34" s="4" t="inlineStr">
        <is>
          <t>Security &amp; Backup</t>
        </is>
      </c>
      <c r="E34" s="4" t="inlineStr">
        <is>
          <t>CNC Backup and Restore: Programs, Parameters, and Recovery Planning</t>
        </is>
      </c>
      <c r="F34" s="4" t="inlineStr">
        <is>
          <t>CNC backup and restore</t>
        </is>
      </c>
      <c r="G34" s="4" t="inlineStr">
        <is>
          <t>CNC parameter backup, restore CNC programs, CNC disaster recovery, CNC backup strategy</t>
        </is>
      </c>
      <c r="H34" s="4" t="inlineStr">
        <is>
          <t>Informational</t>
        </is>
      </c>
      <c r="I34" s="4" t="inlineStr">
        <is>
          <t>Awareness</t>
        </is>
      </c>
      <c r="J34" s="4" t="inlineStr">
        <is>
          <t>Comprehensive Guide</t>
        </is>
      </c>
      <c r="K34" s="4" t="inlineStr">
        <is>
          <t>CNC Backup and Restore: Programs, Parameters, and Recovery Planning</t>
        </is>
      </c>
      <c r="L34" s="4">
        <f>LEN(K34)</f>
        <v/>
      </c>
      <c r="M34" s="4" t="inlineStr">
        <is>
          <t>Learn how CNC backup and restore supports safer CNC operations with controlled access, backup discipline, recovery planning, and reduced file-handling risk.</t>
        </is>
      </c>
      <c r="N34" s="4">
        <f>LEN(M34)</f>
        <v/>
      </c>
      <c r="O34" s="4" t="inlineStr">
        <is>
          <t>cnc-backup-and-restore</t>
        </is>
      </c>
      <c r="P34" s="4" t="inlineStr">
        <is>
          <t>CNC Backup and Restore: Programs, Parameters, and Recovery Planning</t>
        </is>
      </c>
      <c r="Q34" s="4" t="inlineStr">
        <is>
          <t>What problem does CNC backup and restore solve?
Files, users, and workflows involved
Recommended control and approval process
Backup, revision, and recovery practices
Common risks and failure modes
Implementation checklist
Frequently asked questions</t>
        </is>
      </c>
      <c r="R34" s="4" t="inlineStr">
        <is>
          <t>/en/software | Product page: /en/product | Contact: /en/contact</t>
        </is>
      </c>
      <c r="S34" s="4" t="inlineStr">
        <is>
          <t>Official controller documentation / ElecIO technical validation | https://www.cimco.com/documentation/documents/cimco_nc-base/brochures/en/cimco-nc-base-brochure-en.pdf</t>
        </is>
      </c>
      <c r="T34" s="4" t="inlineStr">
        <is>
          <t>Request a demo</t>
        </is>
      </c>
      <c r="U34" s="4" t="inlineStr">
        <is>
          <t>Fully answer informational intent and create a natural path toward /en/software.</t>
        </is>
      </c>
      <c r="V34" s="4" t="n"/>
      <c r="W34" s="4" t="n"/>
      <c r="X34" s="4" t="n"/>
      <c r="Y34" s="4" t="n"/>
      <c r="Z34" s="4" t="inlineStr">
        <is>
          <t>Idea</t>
        </is>
      </c>
      <c r="AA34" s="4" t="inlineStr">
        <is>
          <t>High</t>
        </is>
      </c>
      <c r="AB34" s="70" t="n">
        <v>0</v>
      </c>
      <c r="AC34" s="4" t="n"/>
      <c r="AD34" s="4" t="n"/>
    </row>
    <row r="35">
      <c r="A35" s="4" t="inlineStr">
        <is>
          <t>EN-EC-032</t>
        </is>
      </c>
      <c r="B35" s="4" t="inlineStr">
        <is>
          <t>Week 7</t>
        </is>
      </c>
      <c r="C35" s="4" t="inlineStr">
        <is>
          <t>Tuesday</t>
        </is>
      </c>
      <c r="D35" s="4" t="inlineStr">
        <is>
          <t>Program Management</t>
        </is>
      </c>
      <c r="E35" s="4" t="inlineStr">
        <is>
          <t>CNC Program Management: Files, Approvals, Search, and Shop-Floor Access</t>
        </is>
      </c>
      <c r="F35" s="4" t="inlineStr">
        <is>
          <t>CNC program management</t>
        </is>
      </c>
      <c r="G35" s="4" t="inlineStr">
        <is>
          <t>NC program management, CNC file management, G-code management, central CNC repository</t>
        </is>
      </c>
      <c r="H35" s="4" t="inlineStr">
        <is>
          <t>Commercial</t>
        </is>
      </c>
      <c r="I35" s="4" t="inlineStr">
        <is>
          <t>Consideration</t>
        </is>
      </c>
      <c r="J35" s="4" t="inlineStr">
        <is>
          <t>Comprehensive Guide</t>
        </is>
      </c>
      <c r="K35" s="4" t="inlineStr">
        <is>
          <t>CNC Program Management: Files, Approvals, Search, and Shop-Floor Access</t>
        </is>
      </c>
      <c r="L35" s="4">
        <f>LEN(K35)</f>
        <v/>
      </c>
      <c r="M35" s="4" t="inlineStr">
        <is>
          <t>Learn CNC program management: centralize NC files, control revisions, improve traceability, and reduce the risk of using the wrong CNC program.</t>
        </is>
      </c>
      <c r="N35" s="4">
        <f>LEN(M35)</f>
        <v/>
      </c>
      <c r="O35" s="4" t="inlineStr">
        <is>
          <t>cnc-program-management</t>
        </is>
      </c>
      <c r="P35" s="4" t="inlineStr">
        <is>
          <t>CNC Program Management: Files, Approvals, Search, and Shop-Floor Access</t>
        </is>
      </c>
      <c r="Q35" s="4" t="inlineStr">
        <is>
          <t>What problem does CNC program management solve?
Files, users, and workflows involved
Recommended control and approval process
Backup, revision, and recovery practices
Common risks and failure modes
Implementation checklist
Frequently asked questions</t>
        </is>
      </c>
      <c r="R35" s="4" t="inlineStr">
        <is>
          <t>/en/software | Product page: /en/product | Contact: /en/contact</t>
        </is>
      </c>
      <c r="S35" s="4" t="inlineStr">
        <is>
          <t>Official controller documentation / ElecIO technical validation | https://www.cimco.com/documentation/documents/cimco_nc-base/brochures/en/cimco-nc-base-brochure-en.pdf</t>
        </is>
      </c>
      <c r="T35" s="4" t="inlineStr">
        <is>
          <t>Request a demo</t>
        </is>
      </c>
      <c r="U35" s="4" t="inlineStr">
        <is>
          <t>Satisfy consideration-stage intent and move qualified readers naturally toward /en/software.</t>
        </is>
      </c>
      <c r="V35" s="4" t="n"/>
      <c r="W35" s="4" t="n"/>
      <c r="X35" s="4" t="n"/>
      <c r="Y35" s="4" t="n"/>
      <c r="Z35" s="4" t="inlineStr">
        <is>
          <t>Idea</t>
        </is>
      </c>
      <c r="AA35" s="4" t="inlineStr">
        <is>
          <t>Very High</t>
        </is>
      </c>
      <c r="AB35" s="70" t="n">
        <v>0</v>
      </c>
      <c r="AC35" s="4" t="n"/>
      <c r="AD35" s="4" t="n"/>
    </row>
    <row r="36">
      <c r="A36" s="4" t="inlineStr">
        <is>
          <t>EN-EC-033</t>
        </is>
      </c>
      <c r="B36" s="4" t="inlineStr">
        <is>
          <t>Week 7</t>
        </is>
      </c>
      <c r="C36" s="4" t="inlineStr">
        <is>
          <t>Wednesday</t>
        </is>
      </c>
      <c r="D36" s="4" t="inlineStr">
        <is>
          <t>Program Management</t>
        </is>
      </c>
      <c r="E36" s="4" t="inlineStr">
        <is>
          <t>CNC Program Version Control: Preventing Wrong-Revision Errors</t>
        </is>
      </c>
      <c r="F36" s="4" t="inlineStr">
        <is>
          <t>CNC program version control</t>
        </is>
      </c>
      <c r="G36" s="4" t="inlineStr">
        <is>
          <t>CNC revision control, NC program versions, G-code version control, CNC change history</t>
        </is>
      </c>
      <c r="H36" s="4" t="inlineStr">
        <is>
          <t>Commercial</t>
        </is>
      </c>
      <c r="I36" s="4" t="inlineStr">
        <is>
          <t>Consideration</t>
        </is>
      </c>
      <c r="J36" s="4" t="inlineStr">
        <is>
          <t>Industrial Use Case</t>
        </is>
      </c>
      <c r="K36" s="4" t="inlineStr">
        <is>
          <t>CNC Program Version Control: Preventing Wrong-Revision Errors</t>
        </is>
      </c>
      <c r="L36" s="4">
        <f>LEN(K36)</f>
        <v/>
      </c>
      <c r="M36" s="4" t="inlineStr">
        <is>
          <t>Learn CNC program version control: centralize NC files, control revisions, improve traceability, and reduce the risk of using the wrong CNC program.</t>
        </is>
      </c>
      <c r="N36" s="4">
        <f>LEN(M36)</f>
        <v/>
      </c>
      <c r="O36" s="4" t="inlineStr">
        <is>
          <t>cnc-program-version-control</t>
        </is>
      </c>
      <c r="P36" s="4" t="inlineStr">
        <is>
          <t>CNC Program Version Control: Preventing Wrong-Revision Errors</t>
        </is>
      </c>
      <c r="Q36" s="4" t="inlineStr">
        <is>
          <t>What problem does CNC program version control solve?
Files, users, and workflows involved
Recommended control and approval process
Backup, revision, and recovery practices
Common risks and failure modes
Implementation checklist
Frequently asked questions</t>
        </is>
      </c>
      <c r="R36" s="4" t="inlineStr">
        <is>
          <t>/en/software | Product page: /en/product | Contact: /en/contact</t>
        </is>
      </c>
      <c r="S36" s="4" t="inlineStr">
        <is>
          <t>Official controller documentation / ElecIO technical validation | https://www.cimco.com/documentation/documents/cimco_nc-base/brochures/en/cimco-nc-base-brochure-en.pdf</t>
        </is>
      </c>
      <c r="T36" s="4" t="inlineStr">
        <is>
          <t>Request a demo</t>
        </is>
      </c>
      <c r="U36" s="4" t="inlineStr">
        <is>
          <t>Satisfy consideration-stage intent and move qualified readers naturally toward /en/software.</t>
        </is>
      </c>
      <c r="V36" s="4" t="n"/>
      <c r="W36" s="4" t="n"/>
      <c r="X36" s="4" t="n"/>
      <c r="Y36" s="4" t="n"/>
      <c r="Z36" s="4" t="inlineStr">
        <is>
          <t>Idea</t>
        </is>
      </c>
      <c r="AA36" s="4" t="inlineStr">
        <is>
          <t>High</t>
        </is>
      </c>
      <c r="AB36" s="70" t="n">
        <v>0</v>
      </c>
      <c r="AC36" s="4" t="n"/>
      <c r="AD36" s="4" t="n"/>
    </row>
    <row r="37">
      <c r="A37" s="4" t="inlineStr">
        <is>
          <t>EN-EC-034</t>
        </is>
      </c>
      <c r="B37" s="4" t="inlineStr">
        <is>
          <t>Week 7</t>
        </is>
      </c>
      <c r="C37" s="4" t="inlineStr">
        <is>
          <t>Thursday</t>
        </is>
      </c>
      <c r="D37" s="4" t="inlineStr">
        <is>
          <t>CNC Basics</t>
        </is>
      </c>
      <c r="E37" s="4" t="inlineStr">
        <is>
          <t>What Is an NC File? Format, Contents, and CNC Use</t>
        </is>
      </c>
      <c r="F37" s="4" t="inlineStr">
        <is>
          <t>what is an NC file</t>
        </is>
      </c>
      <c r="G37" s="4" t="inlineStr">
        <is>
          <t>NC file format, NC program file, G-code file, CNC program file extension</t>
        </is>
      </c>
      <c r="H37" s="4" t="inlineStr">
        <is>
          <t>Informational</t>
        </is>
      </c>
      <c r="I37" s="4" t="inlineStr">
        <is>
          <t>Awareness</t>
        </is>
      </c>
      <c r="J37" s="4" t="inlineStr">
        <is>
          <t>Comprehensive Guide</t>
        </is>
      </c>
      <c r="K37" s="4" t="inlineStr">
        <is>
          <t>What Is an NC File? Format, Contents, and CNC Use</t>
        </is>
      </c>
      <c r="L37" s="4">
        <f>LEN(K37)</f>
        <v/>
      </c>
      <c r="M37" s="4" t="inlineStr">
        <is>
          <t>What is an NC file? Learn what it contains, how it relates to G-code and CNC programs, common file formats, and how NC files reach the machine.</t>
        </is>
      </c>
      <c r="N37" s="4">
        <f>LEN(M37)</f>
        <v/>
      </c>
      <c r="O37" s="4" t="inlineStr">
        <is>
          <t>what-is-an-nc-file</t>
        </is>
      </c>
      <c r="P37" s="4" t="inlineStr">
        <is>
          <t>What Is an NC File? Format, Contents, and CNC Use</t>
        </is>
      </c>
      <c r="Q37" s="4" t="inlineStr">
        <is>
          <t>What is an NC file?
What information is stored in an NC program?
NC files, G-code, and CNC program extensions
How NC files are created and transferred to the CNC
Common file-handling and compatibility issues
Backup and version-control recommendations
Frequently asked questions</t>
        </is>
      </c>
      <c r="R37" s="4" t="inlineStr">
        <is>
          <t>/en/blog | Product page: /en/product | Related guide: /en/blog/cnc-file-transfer-guide</t>
        </is>
      </c>
      <c r="S37" s="4" t="inlineStr">
        <is>
          <t>Official controller documentation / ElecIO technical validation | https://www.cimco.com/software/cimco-dnc-max/</t>
        </is>
      </c>
      <c r="T37" s="4" t="inlineStr">
        <is>
          <t>Read related CNC guides</t>
        </is>
      </c>
      <c r="U37" s="4" t="inlineStr">
        <is>
          <t>Fully answer informational intent and create a natural path toward /en/blog.</t>
        </is>
      </c>
      <c r="V37" s="4" t="n"/>
      <c r="W37" s="4" t="n"/>
      <c r="X37" s="4" t="n"/>
      <c r="Y37" s="4" t="n"/>
      <c r="Z37" s="4" t="inlineStr">
        <is>
          <t>Idea</t>
        </is>
      </c>
      <c r="AA37" s="4" t="inlineStr">
        <is>
          <t>High</t>
        </is>
      </c>
      <c r="AB37" s="70" t="n">
        <v>0</v>
      </c>
      <c r="AC37" s="4" t="n"/>
      <c r="AD37" s="4" t="n"/>
    </row>
    <row r="38">
      <c r="A38" s="4" t="inlineStr">
        <is>
          <t>EN-EC-035</t>
        </is>
      </c>
      <c r="B38" s="4" t="inlineStr">
        <is>
          <t>Week 7</t>
        </is>
      </c>
      <c r="C38" s="4" t="inlineStr">
        <is>
          <t>Friday</t>
        </is>
      </c>
      <c r="D38" s="4" t="inlineStr">
        <is>
          <t>Security &amp; Backup</t>
        </is>
      </c>
      <c r="E38" s="4" t="inlineStr">
        <is>
          <t>CNC File Access Control: Roles, Permissions, and Approved Programs</t>
        </is>
      </c>
      <c r="F38" s="4" t="inlineStr">
        <is>
          <t>CNC file access control</t>
        </is>
      </c>
      <c r="G38" s="4" t="inlineStr">
        <is>
          <t>CNC user permissions, NC file permissions, CNC program access, operator access control</t>
        </is>
      </c>
      <c r="H38" s="4" t="inlineStr">
        <is>
          <t>Informational</t>
        </is>
      </c>
      <c r="I38" s="4" t="inlineStr">
        <is>
          <t>Awareness</t>
        </is>
      </c>
      <c r="J38" s="4" t="inlineStr">
        <is>
          <t>Comprehensive Guide</t>
        </is>
      </c>
      <c r="K38" s="4" t="inlineStr">
        <is>
          <t>CNC File Access Control: Roles, Permissions, and Approved Programs</t>
        </is>
      </c>
      <c r="L38" s="4">
        <f>LEN(K38)</f>
        <v/>
      </c>
      <c r="M38" s="4" t="inlineStr">
        <is>
          <t>Learn how CNC file access control supports safer CNC operations with controlled access, backup discipline, recovery planning, and reduced file-handling risk.</t>
        </is>
      </c>
      <c r="N38" s="4">
        <f>LEN(M38)</f>
        <v/>
      </c>
      <c r="O38" s="4" t="inlineStr">
        <is>
          <t>cnc-file-access-control</t>
        </is>
      </c>
      <c r="P38" s="4" t="inlineStr">
        <is>
          <t>CNC File Access Control: Roles, Permissions, and Approved Programs</t>
        </is>
      </c>
      <c r="Q38" s="4" t="inlineStr">
        <is>
          <t>What problem does CNC file access control solve?
Files, users, and workflows involved
Recommended control and approval process
Backup, revision, and recovery practices
Common risks and failure modes
Implementation checklist
Frequently asked questions</t>
        </is>
      </c>
      <c r="R38" s="4" t="inlineStr">
        <is>
          <t>/en/software | Product page: /en/product | Contact: /en/contact</t>
        </is>
      </c>
      <c r="S38" s="4" t="inlineStr">
        <is>
          <t>Official controller documentation / ElecIO technical validation | https://www.cimco.com/documentation/documents/cimco_nc-base/brochures/en/cimco-nc-base-brochure-en.pdf</t>
        </is>
      </c>
      <c r="T38" s="4" t="inlineStr">
        <is>
          <t>Request a demo</t>
        </is>
      </c>
      <c r="U38" s="4" t="inlineStr">
        <is>
          <t>Fully answer informational intent and create a natural path toward /en/software.</t>
        </is>
      </c>
      <c r="V38" s="4" t="n"/>
      <c r="W38" s="4" t="n"/>
      <c r="X38" s="4" t="n"/>
      <c r="Y38" s="4" t="n"/>
      <c r="Z38" s="4" t="inlineStr">
        <is>
          <t>Idea</t>
        </is>
      </c>
      <c r="AA38" s="4" t="inlineStr">
        <is>
          <t>Medium</t>
        </is>
      </c>
      <c r="AB38" s="70" t="n">
        <v>0</v>
      </c>
      <c r="AC38" s="4" t="n"/>
      <c r="AD38" s="4" t="n"/>
    </row>
    <row r="39">
      <c r="A39" s="4" t="inlineStr">
        <is>
          <t>EN-EC-036</t>
        </is>
      </c>
      <c r="B39" s="4" t="inlineStr">
        <is>
          <t>Week 8</t>
        </is>
      </c>
      <c r="C39" s="4" t="inlineStr">
        <is>
          <t>Monday</t>
        </is>
      </c>
      <c r="D39" s="4" t="inlineStr">
        <is>
          <t>Security &amp; Backup</t>
        </is>
      </c>
      <c r="E39" s="4" t="inlineStr">
        <is>
          <t>G-Code Security: Protecting CNC Programs from Uncontrolled Changes</t>
        </is>
      </c>
      <c r="F39" s="4" t="inlineStr">
        <is>
          <t>G-code security</t>
        </is>
      </c>
      <c r="G39" s="4" t="inlineStr">
        <is>
          <t>secure G-code files, NC program security, protect CNC programs, G-code access control</t>
        </is>
      </c>
      <c r="H39" s="4" t="inlineStr">
        <is>
          <t>Informational</t>
        </is>
      </c>
      <c r="I39" s="4" t="inlineStr">
        <is>
          <t>Awareness</t>
        </is>
      </c>
      <c r="J39" s="4" t="inlineStr">
        <is>
          <t>Comprehensive Guide</t>
        </is>
      </c>
      <c r="K39" s="4" t="inlineStr">
        <is>
          <t>G-Code Security: Protecting CNC Programs from Uncontrolled Changes</t>
        </is>
      </c>
      <c r="L39" s="4">
        <f>LEN(K39)</f>
        <v/>
      </c>
      <c r="M39" s="4" t="inlineStr">
        <is>
          <t>Learn how G-code security supports safer CNC operations with controlled access, backup discipline, recovery planning, and reduced file-handling risk.</t>
        </is>
      </c>
      <c r="N39" s="4">
        <f>LEN(M39)</f>
        <v/>
      </c>
      <c r="O39" s="4" t="inlineStr">
        <is>
          <t>g-code-security</t>
        </is>
      </c>
      <c r="P39" s="4" t="inlineStr">
        <is>
          <t>G-Code Security: Protecting CNC Programs from Uncontrolled Changes</t>
        </is>
      </c>
      <c r="Q39" s="4" t="inlineStr">
        <is>
          <t>What problem does G-code security solve?
Files, users, and workflows involved
Recommended control and approval process
Backup, revision, and recovery practices
Common risks and failure modes
Implementation checklist
Frequently asked questions</t>
        </is>
      </c>
      <c r="R39" s="4" t="inlineStr">
        <is>
          <t>/en/software | Product page: /en/product | Contact: /en/contact</t>
        </is>
      </c>
      <c r="S39" s="4" t="inlineStr">
        <is>
          <t>Official controller documentation / ElecIO technical validation | https://www.cimco.com/documentation/documents/cimco_nc-base/brochures/en/cimco-nc-base-brochure-en.pdf</t>
        </is>
      </c>
      <c r="T39" s="4" t="inlineStr">
        <is>
          <t>Request a demo</t>
        </is>
      </c>
      <c r="U39" s="4" t="inlineStr">
        <is>
          <t>Fully answer informational intent and create a natural path toward /en/software.</t>
        </is>
      </c>
      <c r="V39" s="4" t="n"/>
      <c r="W39" s="4" t="n"/>
      <c r="X39" s="4" t="n"/>
      <c r="Y39" s="4" t="n"/>
      <c r="Z39" s="4" t="inlineStr">
        <is>
          <t>Idea</t>
        </is>
      </c>
      <c r="AA39" s="4" t="inlineStr">
        <is>
          <t>Medium</t>
        </is>
      </c>
      <c r="AB39" s="70" t="n">
        <v>0</v>
      </c>
      <c r="AC39" s="4" t="n"/>
      <c r="AD39" s="4" t="n"/>
    </row>
    <row r="40">
      <c r="A40" s="4" t="inlineStr">
        <is>
          <t>EN-EC-037</t>
        </is>
      </c>
      <c r="B40" s="4" t="inlineStr">
        <is>
          <t>Week 8</t>
        </is>
      </c>
      <c r="C40" s="4" t="inlineStr">
        <is>
          <t>Tuesday</t>
        </is>
      </c>
      <c r="D40" s="4" t="inlineStr">
        <is>
          <t>Security &amp; Backup</t>
        </is>
      </c>
      <c r="E40" s="4" t="inlineStr">
        <is>
          <t>USB Security for CNC Machines: Risks and Safer File-Transfer Alternatives</t>
        </is>
      </c>
      <c r="F40" s="4" t="inlineStr">
        <is>
          <t>USB security for CNC machines</t>
        </is>
      </c>
      <c r="G40" s="4" t="inlineStr">
        <is>
          <t>USB malware CNC, remove USB from CNC shop, secure CNC file transfer, CNC flash drive risk</t>
        </is>
      </c>
      <c r="H40" s="4" t="inlineStr">
        <is>
          <t>Informational/Commercial</t>
        </is>
      </c>
      <c r="I40" s="4" t="inlineStr">
        <is>
          <t>Consideration</t>
        </is>
      </c>
      <c r="J40" s="4" t="inlineStr">
        <is>
          <t>Industrial Use Case</t>
        </is>
      </c>
      <c r="K40" s="4" t="inlineStr">
        <is>
          <t>USB Security for CNC Machines: Risks and Safer File-Transfer Alternatives</t>
        </is>
      </c>
      <c r="L40" s="4">
        <f>LEN(K40)</f>
        <v/>
      </c>
      <c r="M40" s="4" t="inlineStr">
        <is>
          <t>Learn how USB security for CNC machines supports safer CNC operations with controlled access, backup discipline, recovery planning, and reduced file-handling risk.</t>
        </is>
      </c>
      <c r="N40" s="4">
        <f>LEN(M40)</f>
        <v/>
      </c>
      <c r="O40" s="4" t="inlineStr">
        <is>
          <t>usb-security-cnc-machines</t>
        </is>
      </c>
      <c r="P40" s="4" t="inlineStr">
        <is>
          <t>USB Security for CNC Machines: Risks and Safer File-Transfer Alternatives</t>
        </is>
      </c>
      <c r="Q40" s="4" t="inlineStr">
        <is>
          <t>What problem does USB security for CNC machines solve?
Files, users, and workflows involved
Recommended control and approval process
Backup, revision, and recovery practices
Common risks and failure modes
Implementation checklist
Frequently asked questions</t>
        </is>
      </c>
      <c r="R40" s="4" t="inlineStr">
        <is>
          <t>/en/product | Software: /en/software | Contact: /en/contact</t>
        </is>
      </c>
      <c r="S40" s="4" t="inlineStr">
        <is>
          <t>Official controller documentation / ElecIO technical validation | https://www.cimco.com/software/cimco-dnc-max/</t>
        </is>
      </c>
      <c r="T40" s="4" t="inlineStr">
        <is>
          <t>Explore Smart DNC</t>
        </is>
      </c>
      <c r="U40" s="4" t="inlineStr">
        <is>
          <t>Satisfy consideration-stage intent and move qualified readers naturally toward /en/product.</t>
        </is>
      </c>
      <c r="V40" s="4" t="n"/>
      <c r="W40" s="4" t="n"/>
      <c r="X40" s="4" t="n"/>
      <c r="Y40" s="4" t="n"/>
      <c r="Z40" s="4" t="inlineStr">
        <is>
          <t>Idea</t>
        </is>
      </c>
      <c r="AA40" s="4" t="inlineStr">
        <is>
          <t>High</t>
        </is>
      </c>
      <c r="AB40" s="70" t="n">
        <v>0</v>
      </c>
      <c r="AC40" s="4" t="n"/>
      <c r="AD40" s="4" t="n"/>
    </row>
    <row r="41">
      <c r="A41" s="4" t="inlineStr">
        <is>
          <t>EN-EC-038</t>
        </is>
      </c>
      <c r="B41" s="4" t="inlineStr">
        <is>
          <t>Week 8</t>
        </is>
      </c>
      <c r="C41" s="4" t="inlineStr">
        <is>
          <t>Wednesday</t>
        </is>
      </c>
      <c r="D41" s="4" t="inlineStr">
        <is>
          <t>Software &amp; Monitoring</t>
        </is>
      </c>
      <c r="E41" s="4" t="inlineStr">
        <is>
          <t>CNC Machine Monitoring: What to Track and Why It Matters</t>
        </is>
      </c>
      <c r="F41" s="4" t="inlineStr">
        <is>
          <t>CNC machine monitoring</t>
        </is>
      </c>
      <c r="G41" s="4" t="inlineStr">
        <is>
          <t>CNC monitoring, machine status monitoring, real-time CNC monitoring, shop floor monitoring</t>
        </is>
      </c>
      <c r="H41" s="4" t="inlineStr">
        <is>
          <t>Informational</t>
        </is>
      </c>
      <c r="I41" s="4" t="inlineStr">
        <is>
          <t>Awareness</t>
        </is>
      </c>
      <c r="J41" s="4" t="inlineStr">
        <is>
          <t>Industrial Use Case</t>
        </is>
      </c>
      <c r="K41" s="4" t="inlineStr">
        <is>
          <t>CNC Machine Monitoring: What to Track and Why It Matters</t>
        </is>
      </c>
      <c r="L41" s="4">
        <f>LEN(K41)</f>
        <v/>
      </c>
      <c r="M41" s="4" t="inlineStr">
        <is>
          <t>Learn CNC machine monitoring: key features, machine-data requirements, dashboards, reporting, integration considerations, and selection criteria.</t>
        </is>
      </c>
      <c r="N41" s="4">
        <f>LEN(M41)</f>
        <v/>
      </c>
      <c r="O41" s="4" t="inlineStr">
        <is>
          <t>cnc-machine-monitoring</t>
        </is>
      </c>
      <c r="P41" s="4" t="inlineStr">
        <is>
          <t>CNC Machine Monitoring: What to Track and Why It Matters</t>
        </is>
      </c>
      <c r="Q41" s="4" t="inlineStr">
        <is>
          <t>Why CNC machine monitoring matters in a CNC shop
Data and signals you need
Metrics, reports, and dashboards
Example shop-floor workflow
Common measurement mistakes
Implementation checklist
Frequently asked questions</t>
        </is>
      </c>
      <c r="R41" s="4" t="inlineStr">
        <is>
          <t>/en/software | Product page: /en/product | Contact: /en/contact</t>
        </is>
      </c>
      <c r="S41" s="4" t="inlineStr">
        <is>
          <t>Official controller documentation / ElecIO technical validation | https://www.fanucamerica.com/products/software/mt-connect-server</t>
        </is>
      </c>
      <c r="T41" s="4" t="inlineStr">
        <is>
          <t>Request a demo</t>
        </is>
      </c>
      <c r="U41" s="4" t="inlineStr">
        <is>
          <t>Fully answer informational intent and create a natural path toward /en/software.</t>
        </is>
      </c>
      <c r="V41" s="4" t="n"/>
      <c r="W41" s="4" t="n"/>
      <c r="X41" s="4" t="n"/>
      <c r="Y41" s="4" t="n"/>
      <c r="Z41" s="4" t="inlineStr">
        <is>
          <t>Idea</t>
        </is>
      </c>
      <c r="AA41" s="4" t="inlineStr">
        <is>
          <t>Very High</t>
        </is>
      </c>
      <c r="AB41" s="70" t="n">
        <v>0</v>
      </c>
      <c r="AC41" s="4" t="n"/>
      <c r="AD41" s="4" t="n"/>
    </row>
    <row r="42">
      <c r="A42" s="4" t="inlineStr">
        <is>
          <t>EN-EC-039</t>
        </is>
      </c>
      <c r="B42" s="4" t="inlineStr">
        <is>
          <t>Week 8</t>
        </is>
      </c>
      <c r="C42" s="4" t="inlineStr">
        <is>
          <t>Thursday</t>
        </is>
      </c>
      <c r="D42" s="4" t="inlineStr">
        <is>
          <t>Software &amp; Monitoring</t>
        </is>
      </c>
      <c r="E42" s="4" t="inlineStr">
        <is>
          <t>CNC Machine Monitoring Software: Features, Data, and Buying Criteria</t>
        </is>
      </c>
      <c r="F42" s="4" t="inlineStr">
        <is>
          <t>CNC machine monitoring software</t>
        </is>
      </c>
      <c r="G42" s="4" t="inlineStr">
        <is>
          <t>machine monitoring software, CNC dashboard software, CNC data collection software</t>
        </is>
      </c>
      <c r="H42" s="4" t="inlineStr">
        <is>
          <t>Commercial</t>
        </is>
      </c>
      <c r="I42" s="4" t="inlineStr">
        <is>
          <t>Consideration</t>
        </is>
      </c>
      <c r="J42" s="4" t="inlineStr">
        <is>
          <t>Buyer’s Guide</t>
        </is>
      </c>
      <c r="K42" s="4" t="inlineStr">
        <is>
          <t>CNC Machine Monitoring Software: Features, Data, and Buying Criteria</t>
        </is>
      </c>
      <c r="L42" s="4">
        <f>LEN(K42)</f>
        <v/>
      </c>
      <c r="M42" s="4" t="inlineStr">
        <is>
          <t>Learn CNC machine monitoring software: key features, machine-data requirements, dashboards, reporting, integration considerations, and selection criteria.</t>
        </is>
      </c>
      <c r="N42" s="4">
        <f>LEN(M42)</f>
        <v/>
      </c>
      <c r="O42" s="4" t="inlineStr">
        <is>
          <t>cnc-machine-monitoring-software</t>
        </is>
      </c>
      <c r="P42" s="4" t="inlineStr">
        <is>
          <t>CNC Machine Monitoring Software: Features, Data, and Buying Criteria</t>
        </is>
      </c>
      <c r="Q42" s="4" t="inlineStr">
        <is>
          <t>What is CNC machine monitoring software and where does it fit?
Core features and technical requirements
Controller and communication compatibility
Deployment, maintenance, and scalability
Security, permissions, and program control
Buying checklist and questions to ask
Frequently asked questions</t>
        </is>
      </c>
      <c r="R42" s="4" t="inlineStr">
        <is>
          <t>/en/software | Product page: /en/product | Contact: /en/contact</t>
        </is>
      </c>
      <c r="S42" s="4" t="inlineStr">
        <is>
          <t>Official controller documentation / ElecIO technical validation | https://scytec.com/oee-machine-monitoring/</t>
        </is>
      </c>
      <c r="T42" s="4" t="inlineStr">
        <is>
          <t>Request a demo</t>
        </is>
      </c>
      <c r="U42" s="4" t="inlineStr">
        <is>
          <t>Satisfy consideration-stage intent and move qualified readers naturally toward /en/software.</t>
        </is>
      </c>
      <c r="V42" s="4" t="n"/>
      <c r="W42" s="4" t="n"/>
      <c r="X42" s="4" t="n"/>
      <c r="Y42" s="4" t="n"/>
      <c r="Z42" s="4" t="inlineStr">
        <is>
          <t>Idea</t>
        </is>
      </c>
      <c r="AA42" s="4" t="inlineStr">
        <is>
          <t>Very High</t>
        </is>
      </c>
      <c r="AB42" s="70" t="n">
        <v>0</v>
      </c>
      <c r="AC42" s="4" t="n"/>
      <c r="AD42" s="4" t="n"/>
    </row>
    <row r="43">
      <c r="A43" s="4" t="inlineStr">
        <is>
          <t>EN-EC-040</t>
        </is>
      </c>
      <c r="B43" s="4" t="inlineStr">
        <is>
          <t>Week 8</t>
        </is>
      </c>
      <c r="C43" s="4" t="inlineStr">
        <is>
          <t>Friday</t>
        </is>
      </c>
      <c r="D43" s="4" t="inlineStr">
        <is>
          <t>Reporting &amp; Productivity</t>
        </is>
      </c>
      <c r="E43" s="4" t="inlineStr">
        <is>
          <t>CNC Production Reporting: Turning Machine Data into Shop-Floor Decisions</t>
        </is>
      </c>
      <c r="F43" s="4" t="inlineStr">
        <is>
          <t>CNC production reporting</t>
        </is>
      </c>
      <c r="G43" s="4" t="inlineStr">
        <is>
          <t>CNC production reports, machine performance report, CNC shop dashboard, production data CNC</t>
        </is>
      </c>
      <c r="H43" s="4" t="inlineStr">
        <is>
          <t>Informational</t>
        </is>
      </c>
      <c r="I43" s="4" t="inlineStr">
        <is>
          <t>Awareness</t>
        </is>
      </c>
      <c r="J43" s="4" t="inlineStr">
        <is>
          <t>Industrial Use Case</t>
        </is>
      </c>
      <c r="K43" s="4" t="inlineStr">
        <is>
          <t>CNC Production Reporting: Turning Machine Data into Shop-Floor Decisions</t>
        </is>
      </c>
      <c r="L43" s="4">
        <f>LEN(K43)</f>
        <v/>
      </c>
      <c r="M43" s="4" t="inlineStr">
        <is>
          <t>Learn CNC production reporting: what to measure, how to structure CNC production data, and how to turn machine activity into useful shop-floor decisions.</t>
        </is>
      </c>
      <c r="N43" s="4">
        <f>LEN(M43)</f>
        <v/>
      </c>
      <c r="O43" s="4" t="inlineStr">
        <is>
          <t>cnc-production-reporting</t>
        </is>
      </c>
      <c r="P43" s="4" t="inlineStr">
        <is>
          <t>CNC Production Reporting: Turning Machine Data into Shop-Floor Decisions</t>
        </is>
      </c>
      <c r="Q43" s="4" t="inlineStr">
        <is>
          <t>Why CNC production reporting matters in a CNC shop
Data and signals you need
Metrics, reports, and dashboards
Example shop-floor workflow
Common measurement mistakes
Implementation checklist
Frequently asked questions</t>
        </is>
      </c>
      <c r="R43" s="4" t="inlineStr">
        <is>
          <t>/en/software | Product page: /en/product | Contact: /en/contact</t>
        </is>
      </c>
      <c r="S43" s="4" t="inlineStr">
        <is>
          <t>Official controller documentation / ElecIO technical validation | https://scytec.com/oee-machine-monitoring/</t>
        </is>
      </c>
      <c r="T43" s="4" t="inlineStr">
        <is>
          <t>Request a demo</t>
        </is>
      </c>
      <c r="U43" s="4" t="inlineStr">
        <is>
          <t>Fully answer informational intent and create a natural path toward /en/software.</t>
        </is>
      </c>
      <c r="V43" s="4" t="n"/>
      <c r="W43" s="4" t="n"/>
      <c r="X43" s="4" t="n"/>
      <c r="Y43" s="4" t="n"/>
      <c r="Z43" s="4" t="inlineStr">
        <is>
          <t>Idea</t>
        </is>
      </c>
      <c r="AA43" s="4" t="inlineStr">
        <is>
          <t>High</t>
        </is>
      </c>
      <c r="AB43" s="70" t="n">
        <v>0</v>
      </c>
      <c r="AC43" s="4" t="n"/>
      <c r="AD43" s="4" t="n"/>
    </row>
    <row r="44">
      <c r="A44" s="4" t="inlineStr">
        <is>
          <t>EN-EC-041</t>
        </is>
      </c>
      <c r="B44" s="4" t="inlineStr">
        <is>
          <t>Week 9</t>
        </is>
      </c>
      <c r="C44" s="4" t="inlineStr">
        <is>
          <t>Monday</t>
        </is>
      </c>
      <c r="D44" s="4" t="inlineStr">
        <is>
          <t>Reporting &amp; Productivity</t>
        </is>
      </c>
      <c r="E44" s="4" t="inlineStr">
        <is>
          <t>CNC Downtime Tracking: Capture Reasons, Duration, and Recurring Losses</t>
        </is>
      </c>
      <c r="F44" s="4" t="inlineStr">
        <is>
          <t>CNC downtime tracking</t>
        </is>
      </c>
      <c r="G44" s="4" t="inlineStr">
        <is>
          <t>machine downtime tracking, CNC downtime report, downtime reasons, shop floor downtime</t>
        </is>
      </c>
      <c r="H44" s="4" t="inlineStr">
        <is>
          <t>Informational</t>
        </is>
      </c>
      <c r="I44" s="4" t="inlineStr">
        <is>
          <t>Awareness</t>
        </is>
      </c>
      <c r="J44" s="4" t="inlineStr">
        <is>
          <t>Industrial Use Case</t>
        </is>
      </c>
      <c r="K44" s="4" t="inlineStr">
        <is>
          <t>CNC Downtime Tracking: Capture Reasons, Duration, and Recurring Losses</t>
        </is>
      </c>
      <c r="L44" s="4">
        <f>LEN(K44)</f>
        <v/>
      </c>
      <c r="M44" s="4" t="inlineStr">
        <is>
          <t>Learn CNC downtime tracking: what to measure, how to structure CNC production data, and how to turn machine activity into useful shop-floor decisions.</t>
        </is>
      </c>
      <c r="N44" s="4">
        <f>LEN(M44)</f>
        <v/>
      </c>
      <c r="O44" s="4" t="inlineStr">
        <is>
          <t>cnc-downtime-tracking</t>
        </is>
      </c>
      <c r="P44" s="4" t="inlineStr">
        <is>
          <t>CNC Downtime Tracking: Capture Reasons, Duration, and Recurring Losses</t>
        </is>
      </c>
      <c r="Q44" s="4" t="inlineStr">
        <is>
          <t>Why CNC downtime tracking matters in a CNC shop
Data and signals you need
Metrics, reports, and dashboards
Example shop-floor workflow
Common measurement mistakes
Implementation checklist
Frequently asked questions</t>
        </is>
      </c>
      <c r="R44" s="4" t="inlineStr">
        <is>
          <t>/en/software | Product page: /en/product | Contact: /en/contact</t>
        </is>
      </c>
      <c r="S44" s="4" t="inlineStr">
        <is>
          <t>Official controller documentation / ElecIO technical validation | https://scytec.com/oee-machine-monitoring/</t>
        </is>
      </c>
      <c r="T44" s="4" t="inlineStr">
        <is>
          <t>Request a demo</t>
        </is>
      </c>
      <c r="U44" s="4" t="inlineStr">
        <is>
          <t>Fully answer informational intent and create a natural path toward /en/software.</t>
        </is>
      </c>
      <c r="V44" s="4" t="n"/>
      <c r="W44" s="4" t="n"/>
      <c r="X44" s="4" t="n"/>
      <c r="Y44" s="4" t="n"/>
      <c r="Z44" s="4" t="inlineStr">
        <is>
          <t>Idea</t>
        </is>
      </c>
      <c r="AA44" s="4" t="inlineStr">
        <is>
          <t>High</t>
        </is>
      </c>
      <c r="AB44" s="70" t="n">
        <v>0</v>
      </c>
      <c r="AC44" s="4" t="n"/>
      <c r="AD44" s="4" t="n"/>
    </row>
    <row r="45">
      <c r="A45" s="4" t="inlineStr">
        <is>
          <t>EN-EC-042</t>
        </is>
      </c>
      <c r="B45" s="4" t="inlineStr">
        <is>
          <t>Week 9</t>
        </is>
      </c>
      <c r="C45" s="4" t="inlineStr">
        <is>
          <t>Tuesday</t>
        </is>
      </c>
      <c r="D45" s="4" t="inlineStr">
        <is>
          <t>Reporting &amp; Productivity</t>
        </is>
      </c>
      <c r="E45" s="4" t="inlineStr">
        <is>
          <t>CNC Machine Runtime Tracking: Measuring Real Operating Time</t>
        </is>
      </c>
      <c r="F45" s="4" t="inlineStr">
        <is>
          <t>CNC machine runtime tracking</t>
        </is>
      </c>
      <c r="G45" s="4" t="inlineStr">
        <is>
          <t>CNC runtime, machine hours tracking, CNC operating time, machine utilization tracking</t>
        </is>
      </c>
      <c r="H45" s="4" t="inlineStr">
        <is>
          <t>Informational</t>
        </is>
      </c>
      <c r="I45" s="4" t="inlineStr">
        <is>
          <t>Awareness</t>
        </is>
      </c>
      <c r="J45" s="4" t="inlineStr">
        <is>
          <t>Industrial Use Case</t>
        </is>
      </c>
      <c r="K45" s="4" t="inlineStr">
        <is>
          <t>CNC Machine Runtime Tracking: Measuring Real Operating Time</t>
        </is>
      </c>
      <c r="L45" s="4">
        <f>LEN(K45)</f>
        <v/>
      </c>
      <c r="M45" s="4" t="inlineStr">
        <is>
          <t>Learn CNC machine runtime tracking: what to measure, how to structure CNC production data, and how to turn machine activity into useful shop-floor decisions.</t>
        </is>
      </c>
      <c r="N45" s="4">
        <f>LEN(M45)</f>
        <v/>
      </c>
      <c r="O45" s="4" t="inlineStr">
        <is>
          <t>cnc-machine-runtime-tracking</t>
        </is>
      </c>
      <c r="P45" s="4" t="inlineStr">
        <is>
          <t>CNC Machine Runtime Tracking: Measuring Real Operating Time</t>
        </is>
      </c>
      <c r="Q45" s="4" t="inlineStr">
        <is>
          <t>Why CNC machine runtime tracking matters in a CNC shop
Data and signals you need
Metrics, reports, and dashboards
Example shop-floor workflow
Common measurement mistakes
Implementation checklist
Frequently asked questions</t>
        </is>
      </c>
      <c r="R45" s="4" t="inlineStr">
        <is>
          <t>/en/software | Product page: /en/product | Contact: /en/contact</t>
        </is>
      </c>
      <c r="S45" s="4" t="inlineStr">
        <is>
          <t>Official controller documentation / ElecIO technical validation | https://scytec.com/oee-machine-monitoring/</t>
        </is>
      </c>
      <c r="T45" s="4" t="inlineStr">
        <is>
          <t>Request a demo</t>
        </is>
      </c>
      <c r="U45" s="4" t="inlineStr">
        <is>
          <t>Fully answer informational intent and create a natural path toward /en/software.</t>
        </is>
      </c>
      <c r="V45" s="4" t="n"/>
      <c r="W45" s="4" t="n"/>
      <c r="X45" s="4" t="n"/>
      <c r="Y45" s="4" t="n"/>
      <c r="Z45" s="4" t="inlineStr">
        <is>
          <t>Idea</t>
        </is>
      </c>
      <c r="AA45" s="4" t="inlineStr">
        <is>
          <t>Medium</t>
        </is>
      </c>
      <c r="AB45" s="70" t="n">
        <v>0</v>
      </c>
      <c r="AC45" s="4" t="n"/>
      <c r="AD45" s="4" t="n"/>
    </row>
    <row r="46">
      <c r="A46" s="4" t="inlineStr">
        <is>
          <t>EN-EC-043</t>
        </is>
      </c>
      <c r="B46" s="4" t="inlineStr">
        <is>
          <t>Week 9</t>
        </is>
      </c>
      <c r="C46" s="4" t="inlineStr">
        <is>
          <t>Wednesday</t>
        </is>
      </c>
      <c r="D46" s="4" t="inlineStr">
        <is>
          <t>Reporting &amp; Productivity</t>
        </is>
      </c>
      <c r="E46" s="4" t="inlineStr">
        <is>
          <t>OEE for CNC Machines: Availability, Performance, and Quality Explained</t>
        </is>
      </c>
      <c r="F46" s="4" t="inlineStr">
        <is>
          <t>OEE for CNC machines</t>
        </is>
      </c>
      <c r="G46" s="4" t="inlineStr">
        <is>
          <t>CNC OEE, overall equipment effectiveness CNC, CNC availability performance quality</t>
        </is>
      </c>
      <c r="H46" s="4" t="inlineStr">
        <is>
          <t>Informational</t>
        </is>
      </c>
      <c r="I46" s="4" t="inlineStr">
        <is>
          <t>Awareness</t>
        </is>
      </c>
      <c r="J46" s="4" t="inlineStr">
        <is>
          <t>Comprehensive Guide</t>
        </is>
      </c>
      <c r="K46" s="4" t="inlineStr">
        <is>
          <t>OEE for CNC Machines: Availability, Performance, and Quality Explained</t>
        </is>
      </c>
      <c r="L46" s="4">
        <f>LEN(K46)</f>
        <v/>
      </c>
      <c r="M46" s="4" t="inlineStr">
        <is>
          <t>Learn OEE for CNC machines: what to measure, how to structure CNC production data, and how to turn machine activity into useful shop-floor decisions.</t>
        </is>
      </c>
      <c r="N46" s="4">
        <f>LEN(M46)</f>
        <v/>
      </c>
      <c r="O46" s="4" t="inlineStr">
        <is>
          <t>oee-for-cnc-machines</t>
        </is>
      </c>
      <c r="P46" s="4" t="inlineStr">
        <is>
          <t>OEE for CNC Machines: Availability, Performance, and Quality Explained</t>
        </is>
      </c>
      <c r="Q46" s="4" t="inlineStr">
        <is>
          <t>Why OEE for CNC machines matters in a CNC shop
Data and signals you need
Metrics, reports, and dashboards
Example shop-floor workflow
Common measurement mistakes
Implementation checklist
Frequently asked questions</t>
        </is>
      </c>
      <c r="R46" s="4" t="inlineStr">
        <is>
          <t>/en/software | Product page: /en/product | Contact: /en/contact</t>
        </is>
      </c>
      <c r="S46" s="4" t="inlineStr">
        <is>
          <t>Official controller documentation / ElecIO technical validation | https://scytec.com/oee-machine-monitoring/</t>
        </is>
      </c>
      <c r="T46" s="4" t="inlineStr">
        <is>
          <t>Request a demo</t>
        </is>
      </c>
      <c r="U46" s="4" t="inlineStr">
        <is>
          <t>Fully answer informational intent and create a natural path toward /en/software.</t>
        </is>
      </c>
      <c r="V46" s="4" t="n"/>
      <c r="W46" s="4" t="n"/>
      <c r="X46" s="4" t="n"/>
      <c r="Y46" s="4" t="n"/>
      <c r="Z46" s="4" t="inlineStr">
        <is>
          <t>Idea</t>
        </is>
      </c>
      <c r="AA46" s="4" t="inlineStr">
        <is>
          <t>High</t>
        </is>
      </c>
      <c r="AB46" s="70" t="n">
        <v>0</v>
      </c>
      <c r="AC46" s="4" t="n"/>
      <c r="AD46" s="4" t="n"/>
    </row>
    <row r="47">
      <c r="A47" s="4" t="inlineStr">
        <is>
          <t>EN-EC-044</t>
        </is>
      </c>
      <c r="B47" s="4" t="inlineStr">
        <is>
          <t>Week 9</t>
        </is>
      </c>
      <c r="C47" s="4" t="inlineStr">
        <is>
          <t>Thursday</t>
        </is>
      </c>
      <c r="D47" s="4" t="inlineStr">
        <is>
          <t>Reporting &amp; Productivity</t>
        </is>
      </c>
      <c r="E47" s="4" t="inlineStr">
        <is>
          <t>CNC Machine Utilization: How to Measure and Improve It</t>
        </is>
      </c>
      <c r="F47" s="4" t="inlineStr">
        <is>
          <t>CNC machine utilization</t>
        </is>
      </c>
      <c r="G47" s="4" t="inlineStr">
        <is>
          <t>CNC utilization rate, machine utilization tracking, spindle utilization, shop capacity</t>
        </is>
      </c>
      <c r="H47" s="4" t="inlineStr">
        <is>
          <t>Informational</t>
        </is>
      </c>
      <c r="I47" s="4" t="inlineStr">
        <is>
          <t>Awareness</t>
        </is>
      </c>
      <c r="J47" s="4" t="inlineStr">
        <is>
          <t>Industrial Use Case</t>
        </is>
      </c>
      <c r="K47" s="4" t="inlineStr">
        <is>
          <t>CNC Machine Utilization: How to Measure and Improve It</t>
        </is>
      </c>
      <c r="L47" s="4">
        <f>LEN(K47)</f>
        <v/>
      </c>
      <c r="M47" s="4" t="inlineStr">
        <is>
          <t>Learn CNC machine utilization: what to measure, how to structure CNC production data, and how to turn machine activity into useful shop-floor decisions.</t>
        </is>
      </c>
      <c r="N47" s="4">
        <f>LEN(M47)</f>
        <v/>
      </c>
      <c r="O47" s="4" t="inlineStr">
        <is>
          <t>cnc-machine-utilization</t>
        </is>
      </c>
      <c r="P47" s="4" t="inlineStr">
        <is>
          <t>CNC Machine Utilization: How to Measure and Improve It</t>
        </is>
      </c>
      <c r="Q47" s="4" t="inlineStr">
        <is>
          <t>Why CNC machine utilization matters in a CNC shop
Data and signals you need
Metrics, reports, and dashboards
Example shop-floor workflow
Common measurement mistakes
Implementation checklist
Frequently asked questions</t>
        </is>
      </c>
      <c r="R47" s="4" t="inlineStr">
        <is>
          <t>/en/software | Product page: /en/product | Contact: /en/contact</t>
        </is>
      </c>
      <c r="S47" s="4" t="inlineStr">
        <is>
          <t>Official controller documentation / ElecIO technical validation | https://scytec.com/oee-machine-monitoring/</t>
        </is>
      </c>
      <c r="T47" s="4" t="inlineStr">
        <is>
          <t>Request a demo</t>
        </is>
      </c>
      <c r="U47" s="4" t="inlineStr">
        <is>
          <t>Fully answer informational intent and create a natural path toward /en/software.</t>
        </is>
      </c>
      <c r="V47" s="4" t="n"/>
      <c r="W47" s="4" t="n"/>
      <c r="X47" s="4" t="n"/>
      <c r="Y47" s="4" t="n"/>
      <c r="Z47" s="4" t="inlineStr">
        <is>
          <t>Idea</t>
        </is>
      </c>
      <c r="AA47" s="4" t="inlineStr">
        <is>
          <t>Medium</t>
        </is>
      </c>
      <c r="AB47" s="70" t="n">
        <v>0</v>
      </c>
      <c r="AC47" s="4" t="n"/>
      <c r="AD47" s="4" t="n"/>
    </row>
    <row r="48">
      <c r="A48" s="4" t="inlineStr">
        <is>
          <t>EN-EC-045</t>
        </is>
      </c>
      <c r="B48" s="4" t="inlineStr">
        <is>
          <t>Week 9</t>
        </is>
      </c>
      <c r="C48" s="4" t="inlineStr">
        <is>
          <t>Friday</t>
        </is>
      </c>
      <c r="D48" s="4" t="inlineStr">
        <is>
          <t>Reporting &amp; Productivity</t>
        </is>
      </c>
      <c r="E48" s="4" t="inlineStr">
        <is>
          <t>How to Reduce CNC Machine Downtime with Better Data and Workflow</t>
        </is>
      </c>
      <c r="F48" s="4" t="inlineStr">
        <is>
          <t>reduce CNC machine downtime</t>
        </is>
      </c>
      <c r="G48" s="4" t="inlineStr">
        <is>
          <t>reduce machine downtime, CNC productivity improvement, prevent CNC idle time</t>
        </is>
      </c>
      <c r="H48" s="4" t="inlineStr">
        <is>
          <t>Informational</t>
        </is>
      </c>
      <c r="I48" s="4" t="inlineStr">
        <is>
          <t>Awareness</t>
        </is>
      </c>
      <c r="J48" s="4" t="inlineStr">
        <is>
          <t>Industrial Use Case</t>
        </is>
      </c>
      <c r="K48" s="4" t="inlineStr">
        <is>
          <t>How to Reduce CNC Machine Downtime with Better Data and Workflow</t>
        </is>
      </c>
      <c r="L48" s="4">
        <f>LEN(K48)</f>
        <v/>
      </c>
      <c r="M48" s="4" t="inlineStr">
        <is>
          <t>Learn reduce CNC machine downtime: what to measure, how to structure CNC production data, and how to turn machine activity into useful shop-floor decisions.</t>
        </is>
      </c>
      <c r="N48" s="4">
        <f>LEN(M48)</f>
        <v/>
      </c>
      <c r="O48" s="4" t="inlineStr">
        <is>
          <t>reduce-cnc-machine-downtime</t>
        </is>
      </c>
      <c r="P48" s="4" t="inlineStr">
        <is>
          <t>How to Reduce CNC Machine Downtime with Better Data and Workflow</t>
        </is>
      </c>
      <c r="Q48" s="4" t="inlineStr">
        <is>
          <t>Why reduce CNC machine downtime matters in a CNC shop
Data and signals you need
Metrics, reports, and dashboards
Example shop-floor workflow
Common measurement mistakes
Implementation checklist
Frequently asked questions</t>
        </is>
      </c>
      <c r="R48" s="4" t="inlineStr">
        <is>
          <t>/en/software | Product page: /en/product | Contact: /en/contact</t>
        </is>
      </c>
      <c r="S48" s="4" t="inlineStr">
        <is>
          <t>Official controller documentation / ElecIO technical validation | https://scytec.com/oee-machine-monitoring/</t>
        </is>
      </c>
      <c r="T48" s="4" t="inlineStr">
        <is>
          <t>Request a demo</t>
        </is>
      </c>
      <c r="U48" s="4" t="inlineStr">
        <is>
          <t>Fully answer informational intent and create a natural path toward /en/software.</t>
        </is>
      </c>
      <c r="V48" s="4" t="n"/>
      <c r="W48" s="4" t="n"/>
      <c r="X48" s="4" t="n"/>
      <c r="Y48" s="4" t="n"/>
      <c r="Z48" s="4" t="inlineStr">
        <is>
          <t>Idea</t>
        </is>
      </c>
      <c r="AA48" s="4" t="inlineStr">
        <is>
          <t>High</t>
        </is>
      </c>
      <c r="AB48" s="70" t="n">
        <v>0</v>
      </c>
      <c r="AC48" s="4" t="n"/>
      <c r="AD48" s="4" t="n"/>
    </row>
    <row r="49">
      <c r="A49" s="4" t="inlineStr">
        <is>
          <t>EN-EC-046</t>
        </is>
      </c>
      <c r="B49" s="4" t="inlineStr">
        <is>
          <t>Week 10</t>
        </is>
      </c>
      <c r="C49" s="4" t="inlineStr">
        <is>
          <t>Monday</t>
        </is>
      </c>
      <c r="D49" s="4" t="inlineStr">
        <is>
          <t>Reporting &amp; Productivity</t>
        </is>
      </c>
      <c r="E49" s="4" t="inlineStr">
        <is>
          <t>Common CNC Downtime Causes and How to Analyze Them</t>
        </is>
      </c>
      <c r="F49" s="4" t="inlineStr">
        <is>
          <t>CNC downtime causes</t>
        </is>
      </c>
      <c r="G49" s="4" t="inlineStr">
        <is>
          <t>reasons for CNC downtime, unplanned CNC downtime, machine idle causes, CNC stoppage</t>
        </is>
      </c>
      <c r="H49" s="4" t="inlineStr">
        <is>
          <t>Informational</t>
        </is>
      </c>
      <c r="I49" s="4" t="inlineStr">
        <is>
          <t>Awareness</t>
        </is>
      </c>
      <c r="J49" s="4" t="inlineStr">
        <is>
          <t>Troubleshooting</t>
        </is>
      </c>
      <c r="K49" s="4" t="inlineStr">
        <is>
          <t>Common CNC Downtime Causes and How to Analyze Them</t>
        </is>
      </c>
      <c r="L49" s="4">
        <f>LEN(K49)</f>
        <v/>
      </c>
      <c r="M49" s="4" t="inlineStr">
        <is>
          <t>Learn CNC downtime causes: what to measure, how to structure CNC production data, and how to turn machine activity into useful shop-floor decisions.</t>
        </is>
      </c>
      <c r="N49" s="4">
        <f>LEN(M49)</f>
        <v/>
      </c>
      <c r="O49" s="4" t="inlineStr">
        <is>
          <t>cnc-downtime-causes</t>
        </is>
      </c>
      <c r="P49" s="4" t="inlineStr">
        <is>
          <t>Common CNC Downtime Causes and How to Analyze Them</t>
        </is>
      </c>
      <c r="Q49" s="4" t="inlineStr">
        <is>
          <t>Common symptoms related to CNC downtime causes
Check communication settings first
Inspect cabling, ports, and handshaking
Verify the NC file and controller state
Isolate the PC, network, or CNC side
Escalation checklist for technical support
Frequently asked questions</t>
        </is>
      </c>
      <c r="R49" s="4" t="inlineStr">
        <is>
          <t>/en/software | Product page: /en/product | Contact: /en/contact</t>
        </is>
      </c>
      <c r="S49" s="4" t="inlineStr">
        <is>
          <t>Official controller documentation / ElecIO technical validation | https://scytec.com/oee-machine-monitoring/</t>
        </is>
      </c>
      <c r="T49" s="4" t="inlineStr">
        <is>
          <t>Request a demo</t>
        </is>
      </c>
      <c r="U49" s="4" t="inlineStr">
        <is>
          <t>Fully answer informational intent and create a natural path toward /en/software.</t>
        </is>
      </c>
      <c r="V49" s="4" t="n"/>
      <c r="W49" s="4" t="n"/>
      <c r="X49" s="4" t="n"/>
      <c r="Y49" s="4" t="n"/>
      <c r="Z49" s="4" t="inlineStr">
        <is>
          <t>Idea</t>
        </is>
      </c>
      <c r="AA49" s="4" t="inlineStr">
        <is>
          <t>Medium</t>
        </is>
      </c>
      <c r="AB49" s="70" t="n">
        <v>0</v>
      </c>
      <c r="AC49" s="4" t="n"/>
      <c r="AD49" s="4" t="n"/>
    </row>
    <row r="50">
      <c r="A50" s="4" t="inlineStr">
        <is>
          <t>EN-EC-047</t>
        </is>
      </c>
      <c r="B50" s="4" t="inlineStr">
        <is>
          <t>Week 10</t>
        </is>
      </c>
      <c r="C50" s="4" t="inlineStr">
        <is>
          <t>Tuesday</t>
        </is>
      </c>
      <c r="D50" s="4" t="inlineStr">
        <is>
          <t>Production Economics</t>
        </is>
      </c>
      <c r="E50" s="4" t="inlineStr">
        <is>
          <t>Cost of CNC Downtime: What to Include in a Practical Calculation</t>
        </is>
      </c>
      <c r="F50" s="4" t="inlineStr">
        <is>
          <t>cost of CNC downtime</t>
        </is>
      </c>
      <c r="G50" s="4" t="inlineStr">
        <is>
          <t>CNC downtime cost, cost of machine idle time, lost production cost, machining downtime</t>
        </is>
      </c>
      <c r="H50" s="4" t="inlineStr">
        <is>
          <t>Informational</t>
        </is>
      </c>
      <c r="I50" s="4" t="inlineStr">
        <is>
          <t>Awareness</t>
        </is>
      </c>
      <c r="J50" s="4" t="inlineStr">
        <is>
          <t>Industrial Use Case</t>
        </is>
      </c>
      <c r="K50" s="4" t="inlineStr">
        <is>
          <t>Cost of CNC Downtime: What to Include in a Practical Calculation</t>
        </is>
      </c>
      <c r="L50" s="4">
        <f>LEN(K50)</f>
        <v/>
      </c>
      <c r="M50" s="4" t="inlineStr">
        <is>
          <t>Learn how to evaluate cost of CNC downtime using practical cost categories, production impact, and measurable operational data without relying on guesswork.</t>
        </is>
      </c>
      <c r="N50" s="4">
        <f>LEN(M50)</f>
        <v/>
      </c>
      <c r="O50" s="4" t="inlineStr">
        <is>
          <t>cost-of-cnc-downtime</t>
        </is>
      </c>
      <c r="P50" s="4" t="inlineStr">
        <is>
          <t>Cost of CNC Downtime: What to Include in a Practical Calculation</t>
        </is>
      </c>
      <c r="Q50" s="4" t="inlineStr">
        <is>
          <t>Why cost of CNC downtime matters in a CNC shop
Data and signals you need
Metrics, reports, and dashboards
Example shop-floor workflow
Common measurement mistakes
Implementation checklist
Frequently asked questions</t>
        </is>
      </c>
      <c r="R50" s="4" t="inlineStr">
        <is>
          <t>/en/software | Product page: /en/product | Contact: /en/contact</t>
        </is>
      </c>
      <c r="S50" s="4" t="inlineStr">
        <is>
          <t>Official controller documentation / ElecIO technical validation | https://scytec.com/oee-machine-monitoring/</t>
        </is>
      </c>
      <c r="T50" s="4" t="inlineStr">
        <is>
          <t>Request a demo</t>
        </is>
      </c>
      <c r="U50" s="4" t="inlineStr">
        <is>
          <t>Fully answer informational intent and create a natural path toward /en/software.</t>
        </is>
      </c>
      <c r="V50" s="4" t="n"/>
      <c r="W50" s="4" t="n"/>
      <c r="X50" s="4" t="n"/>
      <c r="Y50" s="4" t="n"/>
      <c r="Z50" s="4" t="inlineStr">
        <is>
          <t>Idea</t>
        </is>
      </c>
      <c r="AA50" s="4" t="inlineStr">
        <is>
          <t>High</t>
        </is>
      </c>
      <c r="AB50" s="70" t="n">
        <v>0</v>
      </c>
      <c r="AC50" s="4" t="n"/>
      <c r="AD50" s="4" t="n"/>
    </row>
    <row r="51">
      <c r="A51" s="4" t="inlineStr">
        <is>
          <t>EN-EC-048</t>
        </is>
      </c>
      <c r="B51" s="4" t="inlineStr">
        <is>
          <t>Week 10</t>
        </is>
      </c>
      <c r="C51" s="4" t="inlineStr">
        <is>
          <t>Wednesday</t>
        </is>
      </c>
      <c r="D51" s="4" t="inlineStr">
        <is>
          <t>Software &amp; Monitoring</t>
        </is>
      </c>
      <c r="E51" s="4" t="inlineStr">
        <is>
          <t>CNC Machine Management Software: What a Connected Shop Actually Needs</t>
        </is>
      </c>
      <c r="F51" s="4" t="inlineStr">
        <is>
          <t>CNC machine management software</t>
        </is>
      </c>
      <c r="G51" s="4" t="inlineStr">
        <is>
          <t>CNC management software, shop floor CNC software, CNC production management, DNC monitoring software</t>
        </is>
      </c>
      <c r="H51" s="4" t="inlineStr">
        <is>
          <t>Commercial</t>
        </is>
      </c>
      <c r="I51" s="4" t="inlineStr">
        <is>
          <t>Consideration</t>
        </is>
      </c>
      <c r="J51" s="4" t="inlineStr">
        <is>
          <t>Buyer’s Guide</t>
        </is>
      </c>
      <c r="K51" s="4" t="inlineStr">
        <is>
          <t>CNC Machine Management Software: What a Connected Shop Actually Needs</t>
        </is>
      </c>
      <c r="L51" s="4">
        <f>LEN(K51)</f>
        <v/>
      </c>
      <c r="M51" s="4" t="inlineStr">
        <is>
          <t>Learn CNC machine management software: key features, machine-data requirements, dashboards, reporting, integration considerations, and selection criteria.</t>
        </is>
      </c>
      <c r="N51" s="4">
        <f>LEN(M51)</f>
        <v/>
      </c>
      <c r="O51" s="4" t="inlineStr">
        <is>
          <t>cnc-machine-management-software</t>
        </is>
      </c>
      <c r="P51" s="4" t="inlineStr">
        <is>
          <t>CNC Machine Management Software: What a Connected Shop Actually Needs</t>
        </is>
      </c>
      <c r="Q51" s="4" t="inlineStr">
        <is>
          <t>What is CNC machine management software and where does it fit?
Core features and technical requirements
Controller and communication compatibility
Deployment, maintenance, and scalability
Security, permissions, and program control
Buying checklist and questions to ask
Frequently asked questions</t>
        </is>
      </c>
      <c r="R51" s="4" t="inlineStr">
        <is>
          <t>/en/software | Product page: /en/product | Contact: /en/contact</t>
        </is>
      </c>
      <c r="S51" s="4" t="inlineStr">
        <is>
          <t>Official controller documentation / ElecIO technical validation | https://www.cimco.com/documentation/documents/cimco_nc-base/brochures/en/cimco-nc-base-brochure-en.pdf</t>
        </is>
      </c>
      <c r="T51" s="4" t="inlineStr">
        <is>
          <t>Request a demo</t>
        </is>
      </c>
      <c r="U51" s="4" t="inlineStr">
        <is>
          <t>Satisfy consideration-stage intent and move qualified readers naturally toward /en/software.</t>
        </is>
      </c>
      <c r="V51" s="4" t="n"/>
      <c r="W51" s="4" t="n"/>
      <c r="X51" s="4" t="n"/>
      <c r="Y51" s="4" t="n"/>
      <c r="Z51" s="4" t="inlineStr">
        <is>
          <t>Idea</t>
        </is>
      </c>
      <c r="AA51" s="4" t="inlineStr">
        <is>
          <t>High</t>
        </is>
      </c>
      <c r="AB51" s="70" t="n">
        <v>0</v>
      </c>
      <c r="AC51" s="4" t="n"/>
      <c r="AD51" s="4" t="n"/>
    </row>
    <row r="52">
      <c r="A52" s="4" t="inlineStr">
        <is>
          <t>EN-EC-049</t>
        </is>
      </c>
      <c r="B52" s="4" t="inlineStr">
        <is>
          <t>Week 10</t>
        </is>
      </c>
      <c r="C52" s="4" t="inlineStr">
        <is>
          <t>Thursday</t>
        </is>
      </c>
      <c r="D52" s="4" t="inlineStr">
        <is>
          <t>Program Management</t>
        </is>
      </c>
      <c r="E52" s="4" t="inlineStr">
        <is>
          <t>How to Manage Multiple CNC Machines from a Centralized Workflow</t>
        </is>
      </c>
      <c r="F52" s="4" t="inlineStr">
        <is>
          <t>manage multiple CNC machines</t>
        </is>
      </c>
      <c r="G52" s="4" t="inlineStr">
        <is>
          <t>multi-machine CNC management, centralized DNC, manage CNC files across machines, CNC fleet management</t>
        </is>
      </c>
      <c r="H52" s="4" t="inlineStr">
        <is>
          <t>Informational/Commercial</t>
        </is>
      </c>
      <c r="I52" s="4" t="inlineStr">
        <is>
          <t>Consideration</t>
        </is>
      </c>
      <c r="J52" s="4" t="inlineStr">
        <is>
          <t>Industrial Use Case</t>
        </is>
      </c>
      <c r="K52" s="4" t="inlineStr">
        <is>
          <t>How to Manage Multiple CNC Machines from a Centralized Workflow</t>
        </is>
      </c>
      <c r="L52" s="4">
        <f>LEN(K52)</f>
        <v/>
      </c>
      <c r="M52" s="4" t="inlineStr">
        <is>
          <t>Learn manage multiple CNC machines: centralize NC files, control revisions, improve traceability, and reduce the risk of using the wrong CNC program.</t>
        </is>
      </c>
      <c r="N52" s="4">
        <f>LEN(M52)</f>
        <v/>
      </c>
      <c r="O52" s="4" t="inlineStr">
        <is>
          <t>manage-multiple-cnc-machines</t>
        </is>
      </c>
      <c r="P52" s="4" t="inlineStr">
        <is>
          <t>How to Manage Multiple CNC Machines from a Centralized Workflow</t>
        </is>
      </c>
      <c r="Q52" s="4" t="inlineStr">
        <is>
          <t>What problem does manage multiple CNC machines solve?
Files, users, and workflows involved
Recommended control and approval process
Backup, revision, and recovery practices
Common risks and failure modes
Implementation checklist
Frequently asked questions</t>
        </is>
      </c>
      <c r="R52" s="4" t="inlineStr">
        <is>
          <t>/en/software | Product page: /en/product | Contact: /en/contact</t>
        </is>
      </c>
      <c r="S52" s="4" t="inlineStr">
        <is>
          <t>Official controller documentation / ElecIO technical validation | https://www.cimco.com/software/cimco-dnc-max/</t>
        </is>
      </c>
      <c r="T52" s="4" t="inlineStr">
        <is>
          <t>Request a demo</t>
        </is>
      </c>
      <c r="U52" s="4" t="inlineStr">
        <is>
          <t>Satisfy consideration-stage intent and move qualified readers naturally toward /en/software.</t>
        </is>
      </c>
      <c r="V52" s="4" t="n"/>
      <c r="W52" s="4" t="n"/>
      <c r="X52" s="4" t="n"/>
      <c r="Y52" s="4" t="n"/>
      <c r="Z52" s="4" t="inlineStr">
        <is>
          <t>Idea</t>
        </is>
      </c>
      <c r="AA52" s="4" t="inlineStr">
        <is>
          <t>High</t>
        </is>
      </c>
      <c r="AB52" s="70" t="n">
        <v>0</v>
      </c>
      <c r="AC52" s="4" t="n"/>
      <c r="AD52" s="4" t="n"/>
    </row>
    <row r="53">
      <c r="A53" s="4" t="inlineStr">
        <is>
          <t>EN-EC-050</t>
        </is>
      </c>
      <c r="B53" s="4" t="inlineStr">
        <is>
          <t>Week 10</t>
        </is>
      </c>
      <c r="C53" s="4" t="inlineStr">
        <is>
          <t>Friday</t>
        </is>
      </c>
      <c r="D53" s="4" t="inlineStr">
        <is>
          <t>Digital Transformation</t>
        </is>
      </c>
      <c r="E53" s="4" t="inlineStr">
        <is>
          <t>Legacy CNC Network Retrofit: Connecting Older Machines Without Replacing the Control</t>
        </is>
      </c>
      <c r="F53" s="4" t="inlineStr">
        <is>
          <t>legacy CNC network retrofit</t>
        </is>
      </c>
      <c r="G53" s="4" t="inlineStr">
        <is>
          <t>connect old CNC to network, legacy CNC connectivity, CNC retrofit networking, old CNC DNC</t>
        </is>
      </c>
      <c r="H53" s="4" t="inlineStr">
        <is>
          <t>Commercial</t>
        </is>
      </c>
      <c r="I53" s="4" t="inlineStr">
        <is>
          <t>Consideration</t>
        </is>
      </c>
      <c r="J53" s="4" t="inlineStr">
        <is>
          <t>Buyer’s Guide</t>
        </is>
      </c>
      <c r="K53" s="4" t="inlineStr">
        <is>
          <t>Legacy CNC Network Retrofit: Connecting Older Machines Without Replacing the Control</t>
        </is>
      </c>
      <c r="L53" s="4">
        <f>LEN(K53)</f>
        <v/>
      </c>
      <c r="M53" s="4" t="inlineStr">
        <is>
          <t>Practical guide to legacy CNC network retrofit: connect legacy and modern CNCs, organize data flows, and build a realistic path toward a more connected shop floor.</t>
        </is>
      </c>
      <c r="N53" s="4">
        <f>LEN(M53)</f>
        <v/>
      </c>
      <c r="O53" s="4" t="inlineStr">
        <is>
          <t>legacy-cnc-network-retrofit</t>
        </is>
      </c>
      <c r="P53" s="4" t="inlineStr">
        <is>
          <t>Legacy CNC Network Retrofit: Connecting Older Machines Without Replacing the Control</t>
        </is>
      </c>
      <c r="Q53" s="4" t="inlineStr">
        <is>
          <t>What is legacy CNC network retrofit and where does it fit?
Core features and technical requirements
Controller and communication compatibility
Deployment, maintenance, and scalability
Security, permissions, and program control
Buying checklist and questions to ask
Frequently asked questions</t>
        </is>
      </c>
      <c r="R53" s="4" t="inlineStr">
        <is>
          <t>/en/product | Software: /en/software | Contact: /en/contact</t>
        </is>
      </c>
      <c r="S53" s="4" t="inlineStr">
        <is>
          <t>Official controller documentation / ElecIO technical validation | https://www.cimco.com/software/cimco-dnc-max/</t>
        </is>
      </c>
      <c r="T53" s="4" t="inlineStr">
        <is>
          <t>Get technical consultation</t>
        </is>
      </c>
      <c r="U53" s="4" t="inlineStr">
        <is>
          <t>Satisfy consideration-stage intent and move qualified readers naturally toward /en/product.</t>
        </is>
      </c>
      <c r="V53" s="4" t="n"/>
      <c r="W53" s="4" t="n"/>
      <c r="X53" s="4" t="n"/>
      <c r="Y53" s="4" t="n"/>
      <c r="Z53" s="4" t="inlineStr">
        <is>
          <t>Idea</t>
        </is>
      </c>
      <c r="AA53" s="4" t="inlineStr">
        <is>
          <t>Very High</t>
        </is>
      </c>
      <c r="AB53" s="70" t="n">
        <v>0</v>
      </c>
      <c r="AC53" s="4" t="n"/>
      <c r="AD53" s="4" t="n"/>
    </row>
    <row r="54">
      <c r="A54" s="4" t="inlineStr">
        <is>
          <t>EN-EC-051</t>
        </is>
      </c>
      <c r="B54" s="4" t="inlineStr">
        <is>
          <t>Week 11</t>
        </is>
      </c>
      <c r="C54" s="4" t="inlineStr">
        <is>
          <t>Monday</t>
        </is>
      </c>
      <c r="D54" s="4" t="inlineStr">
        <is>
          <t>Industrial Networking</t>
        </is>
      </c>
      <c r="E54" s="4" t="inlineStr">
        <is>
          <t>RS232 to Ethernet for CNC Machines: What Changes and What Does Not</t>
        </is>
      </c>
      <c r="F54" s="4" t="inlineStr">
        <is>
          <t>RS232 to Ethernet CNC</t>
        </is>
      </c>
      <c r="G54" s="4" t="inlineStr">
        <is>
          <t>RS232 Ethernet converter CNC, serial to Ethernet CNC, CNC serial device server, DNC Ethernet gateway</t>
        </is>
      </c>
      <c r="H54" s="4" t="inlineStr">
        <is>
          <t>Commercial</t>
        </is>
      </c>
      <c r="I54" s="4" t="inlineStr">
        <is>
          <t>Consideration</t>
        </is>
      </c>
      <c r="J54" s="4" t="inlineStr">
        <is>
          <t>Technical Tutorial</t>
        </is>
      </c>
      <c r="K54" s="4" t="inlineStr">
        <is>
          <t>RS232 to Ethernet for CNC Machines: What Changes and What Does Not</t>
        </is>
      </c>
      <c r="L54" s="4">
        <f>LEN(K54)</f>
        <v/>
      </c>
      <c r="M54" s="4" t="inlineStr">
        <is>
          <t>Practical guide to RS232 to Ethernet CNC, including network options, legacy-machine considerations, security, and file-transfer workflow for CNC shops.</t>
        </is>
      </c>
      <c r="N54" s="4">
        <f>LEN(M54)</f>
        <v/>
      </c>
      <c r="O54" s="4" t="inlineStr">
        <is>
          <t>rs232-to-ethernet-cnc</t>
        </is>
      </c>
      <c r="P54" s="4" t="inlineStr">
        <is>
          <t>RS232 to Ethernet for CNC Machines: What Changes and What Does Not</t>
        </is>
      </c>
      <c r="Q54" s="4" t="inlineStr">
        <is>
          <t>What is RS232 to Ethernet CNC?
Available methods and technical prerequisites
How the workflow works step by step
Compatibility and controller considerations
Common mistakes and troubleshooting
Security and maintenance recommendations
Practical checklist
Frequently asked questions</t>
        </is>
      </c>
      <c r="R54" s="4" t="inlineStr">
        <is>
          <t>/en/product | Software: /en/software | Contact: /en/contact</t>
        </is>
      </c>
      <c r="S54" s="4" t="inlineStr">
        <is>
          <t>Official controller documentation / ElecIO technical validation | https://www.cimco.com/software/cimco-dnc-max/</t>
        </is>
      </c>
      <c r="T54" s="4" t="inlineStr">
        <is>
          <t>Get technical consultation</t>
        </is>
      </c>
      <c r="U54" s="4" t="inlineStr">
        <is>
          <t>Satisfy consideration-stage intent and move qualified readers naturally toward /en/product.</t>
        </is>
      </c>
      <c r="V54" s="4" t="n"/>
      <c r="W54" s="4" t="n"/>
      <c r="X54" s="4" t="n"/>
      <c r="Y54" s="4" t="n"/>
      <c r="Z54" s="4" t="inlineStr">
        <is>
          <t>Idea</t>
        </is>
      </c>
      <c r="AA54" s="4" t="inlineStr">
        <is>
          <t>High</t>
        </is>
      </c>
      <c r="AB54" s="70" t="n">
        <v>0</v>
      </c>
      <c r="AC54" s="4" t="n"/>
      <c r="AD54" s="4" t="n"/>
    </row>
    <row r="55">
      <c r="A55" s="4" t="inlineStr">
        <is>
          <t>EN-EC-052</t>
        </is>
      </c>
      <c r="B55" s="4" t="inlineStr">
        <is>
          <t>Week 11</t>
        </is>
      </c>
      <c r="C55" s="4" t="inlineStr">
        <is>
          <t>Tuesday</t>
        </is>
      </c>
      <c r="D55" s="4" t="inlineStr">
        <is>
          <t>Digital Transformation</t>
        </is>
      </c>
      <c r="E55" s="4" t="inlineStr">
        <is>
          <t>IIoT for CNC Machines: Connecting Legacy and Modern Equipment</t>
        </is>
      </c>
      <c r="F55" s="4" t="inlineStr">
        <is>
          <t>IIoT for CNC machines</t>
        </is>
      </c>
      <c r="G55" s="4" t="inlineStr">
        <is>
          <t>industrial IoT CNC, connected CNC machines, CNC data collection, legacy machine IIoT</t>
        </is>
      </c>
      <c r="H55" s="4" t="inlineStr">
        <is>
          <t>Informational</t>
        </is>
      </c>
      <c r="I55" s="4" t="inlineStr">
        <is>
          <t>Awareness</t>
        </is>
      </c>
      <c r="J55" s="4" t="inlineStr">
        <is>
          <t>Comprehensive Guide</t>
        </is>
      </c>
      <c r="K55" s="4" t="inlineStr">
        <is>
          <t>IIoT for CNC Machines: Connecting Legacy and Modern Equipment</t>
        </is>
      </c>
      <c r="L55" s="4">
        <f>LEN(K55)</f>
        <v/>
      </c>
      <c r="M55" s="4" t="inlineStr">
        <is>
          <t>Practical guide to IIoT for CNC machines: connect legacy and modern CNCs, organize data flows, and build a realistic path toward a more connected shop floor.</t>
        </is>
      </c>
      <c r="N55" s="4">
        <f>LEN(M55)</f>
        <v/>
      </c>
      <c r="O55" s="4" t="inlineStr">
        <is>
          <t>iiot-for-cnc-machines</t>
        </is>
      </c>
      <c r="P55" s="4" t="inlineStr">
        <is>
          <t>IIoT for CNC Machines: Connecting Legacy and Modern Equipment</t>
        </is>
      </c>
      <c r="Q55" s="4" t="inlineStr">
        <is>
          <t>What IIoT for CNC machines means for an existing CNC shop
Start with connectivity and data flow
Legacy-machine integration options
Program transfer, monitoring, and reporting layers
Security and operational ownership
Phased implementation roadmap
Frequently asked questions</t>
        </is>
      </c>
      <c r="R55" s="4" t="inlineStr">
        <is>
          <t>/en/product | Software: /en/software | Contact: /en/contact</t>
        </is>
      </c>
      <c r="S55" s="4" t="inlineStr">
        <is>
          <t>Official controller documentation / ElecIO technical validation | https://www.fanucamerica.com/products/software/mt-connect-server</t>
        </is>
      </c>
      <c r="T55" s="4" t="inlineStr">
        <is>
          <t>Explore Smart DNC</t>
        </is>
      </c>
      <c r="U55" s="4" t="inlineStr">
        <is>
          <t>Fully answer informational intent and create a natural path toward /en/product.</t>
        </is>
      </c>
      <c r="V55" s="4" t="n"/>
      <c r="W55" s="4" t="n"/>
      <c r="X55" s="4" t="n"/>
      <c r="Y55" s="4" t="n"/>
      <c r="Z55" s="4" t="inlineStr">
        <is>
          <t>Idea</t>
        </is>
      </c>
      <c r="AA55" s="4" t="inlineStr">
        <is>
          <t>Medium</t>
        </is>
      </c>
      <c r="AB55" s="70" t="n">
        <v>0</v>
      </c>
      <c r="AC55" s="4" t="n"/>
      <c r="AD55" s="4" t="n"/>
    </row>
    <row r="56">
      <c r="A56" s="4" t="inlineStr">
        <is>
          <t>EN-EC-053</t>
        </is>
      </c>
      <c r="B56" s="4" t="inlineStr">
        <is>
          <t>Week 11</t>
        </is>
      </c>
      <c r="C56" s="4" t="inlineStr">
        <is>
          <t>Wednesday</t>
        </is>
      </c>
      <c r="D56" s="4" t="inlineStr">
        <is>
          <t>Digital Transformation</t>
        </is>
      </c>
      <c r="E56" s="4" t="inlineStr">
        <is>
          <t>Industry 4.0 in CNC Machining: From Connectivity to Actionable Data</t>
        </is>
      </c>
      <c r="F56" s="4" t="inlineStr">
        <is>
          <t>Industry 4.0 CNC machining</t>
        </is>
      </c>
      <c r="G56" s="4" t="inlineStr">
        <is>
          <t>Industry 4.0 CNC, smart machining, connected machine shop, manufacturing data CNC</t>
        </is>
      </c>
      <c r="H56" s="4" t="inlineStr">
        <is>
          <t>Informational</t>
        </is>
      </c>
      <c r="I56" s="4" t="inlineStr">
        <is>
          <t>Awareness</t>
        </is>
      </c>
      <c r="J56" s="4" t="inlineStr">
        <is>
          <t>Industrial Use Case</t>
        </is>
      </c>
      <c r="K56" s="4" t="inlineStr">
        <is>
          <t>Industry 4.0 in CNC Machining: From Connectivity to Actionable Data</t>
        </is>
      </c>
      <c r="L56" s="4">
        <f>LEN(K56)</f>
        <v/>
      </c>
      <c r="M56" s="4" t="inlineStr">
        <is>
          <t>Practical guide to Industry 4.0 CNC machining: connect legacy and modern CNCs, organize data flows, and build a realistic path toward a more connected shop floor.</t>
        </is>
      </c>
      <c r="N56" s="4">
        <f>LEN(M56)</f>
        <v/>
      </c>
      <c r="O56" s="4" t="inlineStr">
        <is>
          <t>industry-4-cnc-machining</t>
        </is>
      </c>
      <c r="P56" s="4" t="inlineStr">
        <is>
          <t>Industry 4.0 in CNC Machining: From Connectivity to Actionable Data</t>
        </is>
      </c>
      <c r="Q56" s="4" t="inlineStr">
        <is>
          <t>What Industry 4.0 CNC machining means for an existing CNC shop
Start with connectivity and data flow
Legacy-machine integration options
Program transfer, monitoring, and reporting layers
Security and operational ownership
Phased implementation roadmap
Frequently asked questions</t>
        </is>
      </c>
      <c r="R56" s="4" t="inlineStr">
        <is>
          <t>/en/product | Software: /en/software | Contact: /en/contact</t>
        </is>
      </c>
      <c r="S56" s="4" t="inlineStr">
        <is>
          <t>Official controller documentation / ElecIO technical validation | https://www.fanucamerica.com/products/software/mt-connect-server</t>
        </is>
      </c>
      <c r="T56" s="4" t="inlineStr">
        <is>
          <t>Explore Smart DNC</t>
        </is>
      </c>
      <c r="U56" s="4" t="inlineStr">
        <is>
          <t>Fully answer informational intent and create a natural path toward /en/product.</t>
        </is>
      </c>
      <c r="V56" s="4" t="n"/>
      <c r="W56" s="4" t="n"/>
      <c r="X56" s="4" t="n"/>
      <c r="Y56" s="4" t="n"/>
      <c r="Z56" s="4" t="inlineStr">
        <is>
          <t>Idea</t>
        </is>
      </c>
      <c r="AA56" s="4" t="inlineStr">
        <is>
          <t>Medium</t>
        </is>
      </c>
      <c r="AB56" s="70" t="n">
        <v>0</v>
      </c>
      <c r="AC56" s="4" t="n"/>
      <c r="AD56" s="4" t="n"/>
    </row>
    <row r="57">
      <c r="A57" s="4" t="inlineStr">
        <is>
          <t>EN-EC-054</t>
        </is>
      </c>
      <c r="B57" s="4" t="inlineStr">
        <is>
          <t>Week 11</t>
        </is>
      </c>
      <c r="C57" s="4" t="inlineStr">
        <is>
          <t>Thursday</t>
        </is>
      </c>
      <c r="D57" s="4" t="inlineStr">
        <is>
          <t>Digital Transformation</t>
        </is>
      </c>
      <c r="E57" s="4" t="inlineStr">
        <is>
          <t>CNC Shop Digitalization: A Practical Roadmap for Existing Machines</t>
        </is>
      </c>
      <c r="F57" s="4" t="inlineStr">
        <is>
          <t>CNC shop digitalization</t>
        </is>
      </c>
      <c r="G57" s="4" t="inlineStr">
        <is>
          <t>digital CNC shop, CNC digital transformation, paperless CNC shop, connected shop floor</t>
        </is>
      </c>
      <c r="H57" s="4" t="inlineStr">
        <is>
          <t>Informational</t>
        </is>
      </c>
      <c r="I57" s="4" t="inlineStr">
        <is>
          <t>Awareness</t>
        </is>
      </c>
      <c r="J57" s="4" t="inlineStr">
        <is>
          <t>Industrial Use Case</t>
        </is>
      </c>
      <c r="K57" s="4" t="inlineStr">
        <is>
          <t>CNC Shop Digitalization: A Practical Roadmap for Existing Machines</t>
        </is>
      </c>
      <c r="L57" s="4">
        <f>LEN(K57)</f>
        <v/>
      </c>
      <c r="M57" s="4" t="inlineStr">
        <is>
          <t>Practical guide to CNC shop digitalization: connect legacy and modern CNCs, organize data flows, and build a realistic path toward a more connected shop floor.</t>
        </is>
      </c>
      <c r="N57" s="4">
        <f>LEN(M57)</f>
        <v/>
      </c>
      <c r="O57" s="4" t="inlineStr">
        <is>
          <t>cnc-shop-digitalization</t>
        </is>
      </c>
      <c r="P57" s="4" t="inlineStr">
        <is>
          <t>CNC Shop Digitalization: A Practical Roadmap for Existing Machines</t>
        </is>
      </c>
      <c r="Q57" s="4" t="inlineStr">
        <is>
          <t>What CNC shop digitalization means for an existing CNC shop
Start with connectivity and data flow
Legacy-machine integration options
Program transfer, monitoring, and reporting layers
Security and operational ownership
Phased implementation roadmap
Frequently asked questions</t>
        </is>
      </c>
      <c r="R57" s="4" t="inlineStr">
        <is>
          <t>/en/product | Software: /en/software | Contact: /en/contact</t>
        </is>
      </c>
      <c r="S57" s="4" t="inlineStr">
        <is>
          <t>Official controller documentation / ElecIO technical validation | https://www.cimco.com/software/cimco-dnc-max/</t>
        </is>
      </c>
      <c r="T57" s="4" t="inlineStr">
        <is>
          <t>Get technical consultation</t>
        </is>
      </c>
      <c r="U57" s="4" t="inlineStr">
        <is>
          <t>Fully answer informational intent and create a natural path toward /en/product.</t>
        </is>
      </c>
      <c r="V57" s="4" t="n"/>
      <c r="W57" s="4" t="n"/>
      <c r="X57" s="4" t="n"/>
      <c r="Y57" s="4" t="n"/>
      <c r="Z57" s="4" t="inlineStr">
        <is>
          <t>Idea</t>
        </is>
      </c>
      <c r="AA57" s="4" t="inlineStr">
        <is>
          <t>High</t>
        </is>
      </c>
      <c r="AB57" s="70" t="n">
        <v>0</v>
      </c>
      <c r="AC57" s="4" t="n"/>
      <c r="AD57" s="4" t="n"/>
    </row>
    <row r="58">
      <c r="A58" s="4" t="inlineStr">
        <is>
          <t>EN-EC-055</t>
        </is>
      </c>
      <c r="B58" s="4" t="inlineStr">
        <is>
          <t>Week 11</t>
        </is>
      </c>
      <c r="C58" s="4" t="inlineStr">
        <is>
          <t>Friday</t>
        </is>
      </c>
      <c r="D58" s="4" t="inlineStr">
        <is>
          <t>CNC File Transfer &amp; DNC</t>
        </is>
      </c>
      <c r="E58" s="4" t="inlineStr">
        <is>
          <t>CNC Drip Feed: Running Programs Larger Than Control Memory</t>
        </is>
      </c>
      <c r="F58" s="4" t="inlineStr">
        <is>
          <t>drip feed CNC</t>
        </is>
      </c>
      <c r="G58" s="4" t="inlineStr">
        <is>
          <t>CNC drip feed, run large CNC program, DNC mode CNC, drip feed G-code</t>
        </is>
      </c>
      <c r="H58" s="4" t="inlineStr">
        <is>
          <t>Informational</t>
        </is>
      </c>
      <c r="I58" s="4" t="inlineStr">
        <is>
          <t>Awareness</t>
        </is>
      </c>
      <c r="J58" s="4" t="inlineStr">
        <is>
          <t>Comprehensive Guide</t>
        </is>
      </c>
      <c r="K58" s="4" t="inlineStr">
        <is>
          <t>CNC Drip Feed: Running Programs Larger Than Control Memory</t>
        </is>
      </c>
      <c r="L58" s="4">
        <f>LEN(K58)</f>
        <v/>
      </c>
      <c r="M58" s="4" t="inlineStr">
        <is>
          <t>Learn drip feed CNC: practical methods, setup choices, compatibility checks, common errors, and a safer workflow for CNC program transfer.</t>
        </is>
      </c>
      <c r="N58" s="4">
        <f>LEN(M58)</f>
        <v/>
      </c>
      <c r="O58" s="4" t="inlineStr">
        <is>
          <t>cnc-drip-feed</t>
        </is>
      </c>
      <c r="P58" s="4" t="inlineStr">
        <is>
          <t>CNC Drip Feed: Running Programs Larger Than Control Memory</t>
        </is>
      </c>
      <c r="Q58" s="4" t="inlineStr">
        <is>
          <t>What is drip feed CNC?
Available methods and technical prerequisites
How the workflow works step by step
Compatibility and controller considerations
Common mistakes and troubleshooting
Security and maintenance recommendations
Practical checklist
Frequently asked questions</t>
        </is>
      </c>
      <c r="R58" s="4" t="inlineStr">
        <is>
          <t>/en/product | Software: /en/software | Contact: /en/contact</t>
        </is>
      </c>
      <c r="S58" s="4" t="inlineStr">
        <is>
          <t>Official controller documentation / ElecIO technical validation | https://www.cimco.com/software/cimco-dnc-max/</t>
        </is>
      </c>
      <c r="T58" s="4" t="inlineStr">
        <is>
          <t>Explore Smart DNC</t>
        </is>
      </c>
      <c r="U58" s="4" t="inlineStr">
        <is>
          <t>Fully answer informational intent and create a natural path toward /en/product.</t>
        </is>
      </c>
      <c r="V58" s="4" t="n"/>
      <c r="W58" s="4" t="n"/>
      <c r="X58" s="4" t="n"/>
      <c r="Y58" s="4" t="n"/>
      <c r="Z58" s="4" t="inlineStr">
        <is>
          <t>Idea</t>
        </is>
      </c>
      <c r="AA58" s="4" t="inlineStr">
        <is>
          <t>High</t>
        </is>
      </c>
      <c r="AB58" s="70" t="n">
        <v>0</v>
      </c>
      <c r="AC58" s="4" t="n"/>
      <c r="AD58" s="4" t="n"/>
    </row>
    <row r="59">
      <c r="A59" s="4" t="inlineStr">
        <is>
          <t>EN-EC-056</t>
        </is>
      </c>
      <c r="B59" s="4" t="inlineStr">
        <is>
          <t>Week 12</t>
        </is>
      </c>
      <c r="C59" s="4" t="inlineStr">
        <is>
          <t>Monday</t>
        </is>
      </c>
      <c r="D59" s="4" t="inlineStr">
        <is>
          <t>CNC File Transfer &amp; DNC</t>
        </is>
      </c>
      <c r="E59" s="4" t="inlineStr">
        <is>
          <t>DNC Drip Feed: How Continuous Program Delivery Works</t>
        </is>
      </c>
      <c r="F59" s="4" t="inlineStr">
        <is>
          <t>DNC drip feed</t>
        </is>
      </c>
      <c r="G59" s="4" t="inlineStr">
        <is>
          <t>DNC drip feeding, drip feed software, serial drip feed CNC, large program DNC</t>
        </is>
      </c>
      <c r="H59" s="4" t="inlineStr">
        <is>
          <t>Informational</t>
        </is>
      </c>
      <c r="I59" s="4" t="inlineStr">
        <is>
          <t>Awareness</t>
        </is>
      </c>
      <c r="J59" s="4" t="inlineStr">
        <is>
          <t>Technical Tutorial</t>
        </is>
      </c>
      <c r="K59" s="4" t="inlineStr">
        <is>
          <t>DNC Drip Feed: How Continuous Program Delivery Works</t>
        </is>
      </c>
      <c r="L59" s="4">
        <f>LEN(K59)</f>
        <v/>
      </c>
      <c r="M59" s="4" t="inlineStr">
        <is>
          <t>Learn DNC drip feed: practical methods, setup choices, compatibility checks, common errors, and a safer workflow for CNC program transfer.</t>
        </is>
      </c>
      <c r="N59" s="4">
        <f>LEN(M59)</f>
        <v/>
      </c>
      <c r="O59" s="4" t="inlineStr">
        <is>
          <t>dnc-drip-feed</t>
        </is>
      </c>
      <c r="P59" s="4" t="inlineStr">
        <is>
          <t>DNC Drip Feed: How Continuous Program Delivery Works</t>
        </is>
      </c>
      <c r="Q59" s="4" t="inlineStr">
        <is>
          <t>What is DNC drip feed?
Available methods and technical prerequisites
How the workflow works step by step
Compatibility and controller considerations
Common mistakes and troubleshooting
Security and maintenance recommendations
Practical checklist
Frequently asked questions</t>
        </is>
      </c>
      <c r="R59" s="4" t="inlineStr">
        <is>
          <t>/en/product | Software: /en/software | Contact: /en/contact</t>
        </is>
      </c>
      <c r="S59" s="4" t="inlineStr">
        <is>
          <t>Official controller documentation / ElecIO technical validation | https://www.cimco.com/software/cimco-dnc-max/</t>
        </is>
      </c>
      <c r="T59" s="4" t="inlineStr">
        <is>
          <t>Explore Smart DNC</t>
        </is>
      </c>
      <c r="U59" s="4" t="inlineStr">
        <is>
          <t>Fully answer informational intent and create a natural path toward /en/product.</t>
        </is>
      </c>
      <c r="V59" s="4" t="n"/>
      <c r="W59" s="4" t="n"/>
      <c r="X59" s="4" t="n"/>
      <c r="Y59" s="4" t="n"/>
      <c r="Z59" s="4" t="inlineStr">
        <is>
          <t>Idea</t>
        </is>
      </c>
      <c r="AA59" s="4" t="inlineStr">
        <is>
          <t>High</t>
        </is>
      </c>
      <c r="AB59" s="70" t="n">
        <v>0</v>
      </c>
      <c r="AC59" s="4" t="n"/>
      <c r="AD59" s="4" t="n"/>
    </row>
    <row r="60">
      <c r="A60" s="4" t="inlineStr">
        <is>
          <t>EN-EC-057</t>
        </is>
      </c>
      <c r="B60" s="4" t="inlineStr">
        <is>
          <t>Week 12</t>
        </is>
      </c>
      <c r="C60" s="4" t="inlineStr">
        <is>
          <t>Tuesday</t>
        </is>
      </c>
      <c r="D60" s="4" t="inlineStr">
        <is>
          <t>Comparison &amp; Selection</t>
        </is>
      </c>
      <c r="E60" s="4" t="inlineStr">
        <is>
          <t>DNC vs USB File Transfer for CNC: Security, Speed, and Workflow</t>
        </is>
      </c>
      <c r="F60" s="4" t="inlineStr">
        <is>
          <t>DNC vs USB file transfer</t>
        </is>
      </c>
      <c r="G60" s="4" t="inlineStr">
        <is>
          <t>DNC vs flash drive, CNC USB vs network, secure CNC transfer, CNC file transfer comparison</t>
        </is>
      </c>
      <c r="H60" s="4" t="inlineStr">
        <is>
          <t>Commercial</t>
        </is>
      </c>
      <c r="I60" s="4" t="inlineStr">
        <is>
          <t>Consideration</t>
        </is>
      </c>
      <c r="J60" s="4" t="inlineStr">
        <is>
          <t>Comparison</t>
        </is>
      </c>
      <c r="K60" s="4" t="inlineStr">
        <is>
          <t>DNC vs USB File Transfer for CNC: Security, Speed, and Workflow</t>
        </is>
      </c>
      <c r="L60" s="4">
        <f>LEN(K60)</f>
        <v/>
      </c>
      <c r="M60" s="4" t="inlineStr">
        <is>
          <t>Compare DNC vs USB file transfer using security, compatibility, speed, workflow, maintenance, and scalability criteria for real CNC environments.</t>
        </is>
      </c>
      <c r="N60" s="4">
        <f>LEN(M60)</f>
        <v/>
      </c>
      <c r="O60" s="4" t="inlineStr">
        <is>
          <t>dnc-vs-usb-cnc-file-transfer</t>
        </is>
      </c>
      <c r="P60" s="4" t="inlineStr">
        <is>
          <t>DNC vs USB File Transfer for CNC: Security, Speed, and Workflow</t>
        </is>
      </c>
      <c r="Q60" s="4" t="inlineStr">
        <is>
          <t>Options being compared
File-transfer speed and workflow
Compatibility with legacy and modern CNCs
Security and program-control differences
Installation and maintenance requirements
Which option fits which type of CNC shop?
Decision table and FAQs</t>
        </is>
      </c>
      <c r="R60" s="4" t="inlineStr">
        <is>
          <t>/en/product | Software: /en/software | Contact: /en/contact</t>
        </is>
      </c>
      <c r="S60" s="4" t="inlineStr">
        <is>
          <t>Official controller documentation / ElecIO technical validation | https://www.cimco.com/software/cimco-dnc-max/</t>
        </is>
      </c>
      <c r="T60" s="4" t="inlineStr">
        <is>
          <t>Explore Smart DNC</t>
        </is>
      </c>
      <c r="U60" s="4" t="inlineStr">
        <is>
          <t>Satisfy consideration-stage intent and move qualified readers naturally toward /en/product.</t>
        </is>
      </c>
      <c r="V60" s="4" t="n"/>
      <c r="W60" s="4" t="n"/>
      <c r="X60" s="4" t="n"/>
      <c r="Y60" s="4" t="n"/>
      <c r="Z60" s="4" t="inlineStr">
        <is>
          <t>Idea</t>
        </is>
      </c>
      <c r="AA60" s="4" t="inlineStr">
        <is>
          <t>High</t>
        </is>
      </c>
      <c r="AB60" s="70" t="n">
        <v>0</v>
      </c>
      <c r="AC60" s="4" t="n"/>
      <c r="AD60" s="4" t="n"/>
    </row>
    <row r="61">
      <c r="A61" s="4" t="inlineStr">
        <is>
          <t>EN-EC-058</t>
        </is>
      </c>
      <c r="B61" s="4" t="inlineStr">
        <is>
          <t>Week 12</t>
        </is>
      </c>
      <c r="C61" s="4" t="inlineStr">
        <is>
          <t>Wednesday</t>
        </is>
      </c>
      <c r="D61" s="4" t="inlineStr">
        <is>
          <t>Comparison &amp; Selection</t>
        </is>
      </c>
      <c r="E61" s="4" t="inlineStr">
        <is>
          <t>Best Way to Transfer CNC Programs: USB, RS232, Ethernet, or DNC?</t>
        </is>
      </c>
      <c r="F61" s="4" t="inlineStr">
        <is>
          <t>best way to transfer CNC programs</t>
        </is>
      </c>
      <c r="G61" s="4" t="inlineStr">
        <is>
          <t>USB vs RS232 vs Ethernet CNC, best CNC file transfer method, DNC vs network CNC</t>
        </is>
      </c>
      <c r="H61" s="4" t="inlineStr">
        <is>
          <t>Commercial</t>
        </is>
      </c>
      <c r="I61" s="4" t="inlineStr">
        <is>
          <t>Consideration</t>
        </is>
      </c>
      <c r="J61" s="4" t="inlineStr">
        <is>
          <t>Comparison</t>
        </is>
      </c>
      <c r="K61" s="4" t="inlineStr">
        <is>
          <t>Best Way to Transfer CNC Programs: USB, RS232, Ethernet, or DNC?</t>
        </is>
      </c>
      <c r="L61" s="4">
        <f>LEN(K61)</f>
        <v/>
      </c>
      <c r="M61" s="4" t="inlineStr">
        <is>
          <t>Compare best way to transfer CNC programs using security, compatibility, speed, workflow, maintenance, and scalability criteria for real CNC environments.</t>
        </is>
      </c>
      <c r="N61" s="4">
        <f>LEN(M61)</f>
        <v/>
      </c>
      <c r="O61" s="4" t="inlineStr">
        <is>
          <t>best-way-to-transfer-cnc-programs</t>
        </is>
      </c>
      <c r="P61" s="4" t="inlineStr">
        <is>
          <t>Best Way to Transfer CNC Programs: USB, RS232, Ethernet, or DNC?</t>
        </is>
      </c>
      <c r="Q61" s="4" t="inlineStr">
        <is>
          <t>Options being compared
File-transfer speed and workflow
Compatibility with legacy and modern CNCs
Security and program-control differences
Installation and maintenance requirements
Which option fits which type of CNC shop?
Decision table and FAQs</t>
        </is>
      </c>
      <c r="R61" s="4" t="inlineStr">
        <is>
          <t>/en/product | Software: /en/software | Contact: /en/contact</t>
        </is>
      </c>
      <c r="S61" s="4" t="inlineStr">
        <is>
          <t>Official controller documentation / ElecIO technical validation | https://www.cimco.com/software/cimco-dnc-max/</t>
        </is>
      </c>
      <c r="T61" s="4" t="inlineStr">
        <is>
          <t>Get technical consultation</t>
        </is>
      </c>
      <c r="U61" s="4" t="inlineStr">
        <is>
          <t>Satisfy consideration-stage intent and move qualified readers naturally toward /en/product.</t>
        </is>
      </c>
      <c r="V61" s="4" t="n"/>
      <c r="W61" s="4" t="n"/>
      <c r="X61" s="4" t="n"/>
      <c r="Y61" s="4" t="n"/>
      <c r="Z61" s="4" t="inlineStr">
        <is>
          <t>Idea</t>
        </is>
      </c>
      <c r="AA61" s="4" t="inlineStr">
        <is>
          <t>Very High</t>
        </is>
      </c>
      <c r="AB61" s="70" t="n">
        <v>0</v>
      </c>
      <c r="AC61" s="4" t="n"/>
      <c r="AD61" s="4" t="n"/>
    </row>
    <row r="62">
      <c r="A62" s="4" t="inlineStr">
        <is>
          <t>EN-EC-059</t>
        </is>
      </c>
      <c r="B62" s="4" t="inlineStr">
        <is>
          <t>Week 12</t>
        </is>
      </c>
      <c r="C62" s="4" t="inlineStr">
        <is>
          <t>Thursday</t>
        </is>
      </c>
      <c r="D62" s="4" t="inlineStr">
        <is>
          <t>CNC Basics</t>
        </is>
      </c>
      <c r="E62" s="4" t="inlineStr">
        <is>
          <t>How to Transfer G-Code to a CNC Machine Safely</t>
        </is>
      </c>
      <c r="F62" s="4" t="inlineStr">
        <is>
          <t>transfer G-code to CNC machine</t>
        </is>
      </c>
      <c r="G62" s="4" t="inlineStr">
        <is>
          <t>send G-code to CNC, upload G-code CNC, transfer NC file to CNC, run G-code on CNC</t>
        </is>
      </c>
      <c r="H62" s="4" t="inlineStr">
        <is>
          <t>Informational</t>
        </is>
      </c>
      <c r="I62" s="4" t="inlineStr">
        <is>
          <t>Awareness</t>
        </is>
      </c>
      <c r="J62" s="4" t="inlineStr">
        <is>
          <t>Technical Tutorial</t>
        </is>
      </c>
      <c r="K62" s="4" t="inlineStr">
        <is>
          <t>How to Transfer G-Code to a CNC Machine Safely</t>
        </is>
      </c>
      <c r="L62" s="4">
        <f>LEN(K62)</f>
        <v/>
      </c>
      <c r="M62" s="4" t="inlineStr">
        <is>
          <t>Step-by-step guide to transfer G-code to CNC machine, including file preparation, transfer methods, controller checks, verification, and common mistakes to avoid.</t>
        </is>
      </c>
      <c r="N62" s="4">
        <f>LEN(M62)</f>
        <v/>
      </c>
      <c r="O62" s="4" t="inlineStr">
        <is>
          <t>transfer-g-code-to-cnc-machine</t>
        </is>
      </c>
      <c r="P62" s="4" t="inlineStr">
        <is>
          <t>How to Transfer G-Code to a CNC Machine Safely</t>
        </is>
      </c>
      <c r="Q62" s="4" t="inlineStr">
        <is>
          <t>What is transfer G-code to CNC machine?
Available methods and technical prerequisites
How the workflow works step by step
Compatibility and controller considerations
Common mistakes and troubleshooting
Security and maintenance recommendations
Practical checklist
Frequently asked questions</t>
        </is>
      </c>
      <c r="R62" s="4" t="inlineStr">
        <is>
          <t>/en/product | Software: /en/software | Contact: /en/contact</t>
        </is>
      </c>
      <c r="S62" s="4" t="inlineStr">
        <is>
          <t>Official controller documentation / ElecIO technical validation | https://www.cimco.com/software/cimco-dnc-max/</t>
        </is>
      </c>
      <c r="T62" s="4" t="inlineStr">
        <is>
          <t>Explore Smart DNC</t>
        </is>
      </c>
      <c r="U62" s="4" t="inlineStr">
        <is>
          <t>Fully answer informational intent and create a natural path toward /en/product.</t>
        </is>
      </c>
      <c r="V62" s="4" t="n"/>
      <c r="W62" s="4" t="n"/>
      <c r="X62" s="4" t="n"/>
      <c r="Y62" s="4" t="n"/>
      <c r="Z62" s="4" t="inlineStr">
        <is>
          <t>Idea</t>
        </is>
      </c>
      <c r="AA62" s="4" t="inlineStr">
        <is>
          <t>High</t>
        </is>
      </c>
      <c r="AB62" s="70" t="n">
        <v>0</v>
      </c>
      <c r="AC62" s="4" t="n"/>
      <c r="AD62" s="4" t="n"/>
    </row>
    <row r="63">
      <c r="A63" s="4" t="inlineStr">
        <is>
          <t>EN-EC-060</t>
        </is>
      </c>
      <c r="B63" s="4" t="inlineStr">
        <is>
          <t>Week 12</t>
        </is>
      </c>
      <c r="C63" s="4" t="inlineStr">
        <is>
          <t>Friday</t>
        </is>
      </c>
      <c r="D63" s="4" t="inlineStr">
        <is>
          <t>Brand &amp; Trust</t>
        </is>
      </c>
      <c r="E63" s="4" t="inlineStr">
        <is>
          <t>ElecIO Smart DNC: CNC File Transfer, Connectivity, and Shop-Floor Control</t>
        </is>
      </c>
      <c r="F63" s="4" t="inlineStr">
        <is>
          <t>ElecIO Smart DNC</t>
        </is>
      </c>
      <c r="G63" s="4" t="inlineStr">
        <is>
          <t>ElecIO DNC, Smart DNC device, CNC file transfer device, CNC connectivity solution</t>
        </is>
      </c>
      <c r="H63" s="4" t="inlineStr">
        <is>
          <t>Brand/Transactional</t>
        </is>
      </c>
      <c r="I63" s="4" t="inlineStr">
        <is>
          <t>Decision</t>
        </is>
      </c>
      <c r="J63" s="4" t="inlineStr">
        <is>
          <t>Buyer’s Guide</t>
        </is>
      </c>
      <c r="K63" s="4" t="inlineStr">
        <is>
          <t>ElecIO Smart DNC: CNC File Transfer, Connectivity, and Shop-Floor Control</t>
        </is>
      </c>
      <c r="L63" s="4">
        <f>LEN(K63)</f>
        <v/>
      </c>
      <c r="M63" s="4" t="inlineStr">
        <is>
          <t>Explore ElecIO Smart DNC: CNC file transfer, connectivity, program handling, monitoring workflow, compatibility, and deployment considerations for CNC shops.</t>
        </is>
      </c>
      <c r="N63" s="4">
        <f>LEN(M63)</f>
        <v/>
      </c>
      <c r="O63" s="4" t="inlineStr">
        <is>
          <t>elecio-smart-dnc</t>
        </is>
      </c>
      <c r="P63" s="4" t="inlineStr">
        <is>
          <t>ElecIO Smart DNC: CNC File Transfer, Connectivity, and Shop-Floor Control</t>
        </is>
      </c>
      <c r="Q63" s="4" t="inlineStr">
        <is>
          <t>What is ElecIO Smart DNC and where does it fit?
Core features and technical requirements
Controller and communication compatibility
Deployment, maintenance, and scalability
Security, permissions, and program control
Buying checklist and questions to ask
Frequently asked questions</t>
        </is>
      </c>
      <c r="R63" s="4" t="inlineStr">
        <is>
          <t>/en/product | Software: /en/software | Contact: /en/contact</t>
        </is>
      </c>
      <c r="S63" s="4" t="inlineStr">
        <is>
          <t>Official controller documentation / ElecIO technical validation | https://elecio.co</t>
        </is>
      </c>
      <c r="T63" s="4" t="inlineStr">
        <is>
          <t>Request a product consultation</t>
        </is>
      </c>
      <c r="U63" s="4" t="inlineStr">
        <is>
          <t>Support a decision-stage visitor and direct the next action toward /en/product.</t>
        </is>
      </c>
      <c r="V63" s="4" t="n"/>
      <c r="W63" s="4" t="n"/>
      <c r="X63" s="4" t="n"/>
      <c r="Y63" s="4" t="n"/>
      <c r="Z63" s="4" t="inlineStr">
        <is>
          <t>Idea</t>
        </is>
      </c>
      <c r="AA63" s="4" t="inlineStr">
        <is>
          <t>Very High</t>
        </is>
      </c>
      <c r="AB63" s="70" t="n">
        <v>0</v>
      </c>
      <c r="AC63" s="4" t="n"/>
      <c r="AD63" s="4" t="n"/>
    </row>
    <row r="64">
      <c r="AB64" s="71" t="n"/>
    </row>
    <row r="65">
      <c r="AB65" s="71" t="n"/>
    </row>
    <row r="66">
      <c r="AB66" s="71" t="n"/>
    </row>
    <row r="67">
      <c r="AB67" s="71" t="n"/>
    </row>
    <row r="68">
      <c r="AB68" s="71" t="n"/>
    </row>
    <row r="69">
      <c r="AB69" s="71" t="n"/>
    </row>
    <row r="70">
      <c r="AB70" s="71" t="n"/>
    </row>
    <row r="71">
      <c r="AB71" s="71" t="n"/>
    </row>
    <row r="72">
      <c r="AB72" s="71" t="n"/>
    </row>
    <row r="73">
      <c r="AB73" s="71" t="n"/>
    </row>
    <row r="74">
      <c r="AB74" s="71" t="n"/>
    </row>
    <row r="75">
      <c r="AB75" s="71" t="n"/>
    </row>
    <row r="76">
      <c r="AB76" s="71" t="n"/>
    </row>
    <row r="77">
      <c r="AB77" s="71" t="n"/>
    </row>
    <row r="78">
      <c r="AB78" s="71" t="n"/>
    </row>
    <row r="79">
      <c r="AB79" s="71" t="n"/>
    </row>
    <row r="80">
      <c r="AB80" s="71" t="n"/>
    </row>
    <row r="81">
      <c r="AB81" s="71" t="n"/>
    </row>
    <row r="82">
      <c r="AB82" s="71" t="n"/>
    </row>
    <row r="83">
      <c r="AB83" s="71" t="n"/>
    </row>
    <row r="84">
      <c r="AB84" s="71" t="n"/>
    </row>
    <row r="85">
      <c r="AB85" s="71" t="n"/>
    </row>
    <row r="86">
      <c r="AB86" s="71" t="n"/>
    </row>
    <row r="87">
      <c r="AB87" s="71" t="n"/>
    </row>
    <row r="88">
      <c r="AB88" s="71" t="n"/>
    </row>
    <row r="89">
      <c r="AB89" s="71" t="n"/>
    </row>
    <row r="90">
      <c r="AB90" s="71" t="n"/>
    </row>
    <row r="91">
      <c r="AB91" s="71" t="n"/>
    </row>
    <row r="92">
      <c r="AB92" s="71" t="n"/>
    </row>
    <row r="93">
      <c r="AB93" s="71" t="n"/>
    </row>
    <row r="94">
      <c r="AB94" s="71" t="n"/>
    </row>
    <row r="95">
      <c r="AB95" s="71" t="n"/>
    </row>
    <row r="96">
      <c r="AB96" s="71" t="n"/>
    </row>
    <row r="97">
      <c r="AB97" s="71" t="n"/>
    </row>
    <row r="98">
      <c r="AB98" s="71" t="n"/>
    </row>
    <row r="99">
      <c r="AB99" s="71" t="n"/>
    </row>
    <row r="100">
      <c r="AB100" s="71" t="n"/>
    </row>
    <row r="101">
      <c r="AB101" s="71" t="n"/>
    </row>
    <row r="102">
      <c r="AB102" s="71" t="n"/>
    </row>
    <row r="103">
      <c r="AB103" s="71" t="n"/>
    </row>
    <row r="104">
      <c r="AB104" s="71" t="n"/>
    </row>
    <row r="105">
      <c r="AB105" s="71" t="n"/>
    </row>
    <row r="106">
      <c r="AB106" s="71" t="n"/>
    </row>
    <row r="107">
      <c r="AB107" s="71" t="n"/>
    </row>
    <row r="108">
      <c r="AB108" s="71" t="n"/>
    </row>
    <row r="109">
      <c r="AB109" s="71" t="n"/>
    </row>
    <row r="110">
      <c r="AB110" s="71" t="n"/>
    </row>
    <row r="111">
      <c r="AB111" s="71" t="n"/>
    </row>
    <row r="112">
      <c r="AB112" s="71" t="n"/>
    </row>
    <row r="113">
      <c r="AB113" s="71" t="n"/>
    </row>
    <row r="114">
      <c r="AB114" s="71" t="n"/>
    </row>
    <row r="115">
      <c r="AB115" s="71" t="n"/>
    </row>
    <row r="116">
      <c r="AB116" s="71" t="n"/>
    </row>
    <row r="117">
      <c r="AB117" s="71" t="n"/>
    </row>
    <row r="118">
      <c r="AB118" s="71" t="n"/>
    </row>
    <row r="119">
      <c r="AB119" s="71" t="n"/>
    </row>
    <row r="120">
      <c r="AB120" s="71" t="n"/>
    </row>
    <row r="121">
      <c r="AB121" s="71" t="n"/>
    </row>
    <row r="122">
      <c r="AB122" s="71" t="n"/>
    </row>
    <row r="123">
      <c r="AB123" s="71" t="n"/>
    </row>
    <row r="124">
      <c r="AB124" s="71" t="n"/>
    </row>
    <row r="125">
      <c r="AB125" s="71" t="n"/>
    </row>
    <row r="126">
      <c r="AB126" s="71" t="n"/>
    </row>
    <row r="127">
      <c r="AB127" s="71" t="n"/>
    </row>
    <row r="128">
      <c r="AB128" s="71" t="n"/>
    </row>
    <row r="129">
      <c r="AB129" s="71" t="n"/>
    </row>
    <row r="130">
      <c r="AB130" s="71" t="n"/>
    </row>
    <row r="131">
      <c r="AB131" s="71" t="n"/>
    </row>
    <row r="132">
      <c r="AB132" s="71" t="n"/>
    </row>
    <row r="133">
      <c r="AB133" s="71" t="n"/>
    </row>
    <row r="134">
      <c r="AB134" s="71" t="n"/>
    </row>
    <row r="135">
      <c r="AB135" s="71" t="n"/>
    </row>
    <row r="136">
      <c r="AB136" s="71" t="n"/>
    </row>
    <row r="137">
      <c r="AB137" s="71" t="n"/>
    </row>
    <row r="138">
      <c r="AB138" s="71" t="n"/>
    </row>
    <row r="139">
      <c r="AB139" s="71" t="n"/>
    </row>
    <row r="140">
      <c r="AB140" s="71" t="n"/>
    </row>
    <row r="141">
      <c r="AB141" s="71" t="n"/>
    </row>
    <row r="142">
      <c r="AB142" s="71" t="n"/>
    </row>
    <row r="143">
      <c r="AB143" s="71" t="n"/>
    </row>
    <row r="144">
      <c r="AB144" s="71" t="n"/>
    </row>
    <row r="145">
      <c r="AB145" s="71" t="n"/>
    </row>
    <row r="146">
      <c r="AB146" s="71" t="n"/>
    </row>
    <row r="147">
      <c r="AB147" s="71" t="n"/>
    </row>
    <row r="148">
      <c r="AB148" s="71" t="n"/>
    </row>
    <row r="149">
      <c r="AB149" s="71" t="n"/>
    </row>
    <row r="150">
      <c r="AB150" s="71" t="n"/>
    </row>
    <row r="151">
      <c r="AB151" s="71" t="n"/>
    </row>
    <row r="152">
      <c r="AB152" s="71" t="n"/>
    </row>
    <row r="153">
      <c r="AB153" s="71" t="n"/>
    </row>
    <row r="154">
      <c r="AB154" s="71" t="n"/>
    </row>
    <row r="155">
      <c r="AB155" s="71" t="n"/>
    </row>
    <row r="156">
      <c r="AB156" s="71" t="n"/>
    </row>
    <row r="157">
      <c r="AB157" s="71" t="n"/>
    </row>
    <row r="158">
      <c r="AB158" s="71" t="n"/>
    </row>
    <row r="159">
      <c r="AB159" s="71" t="n"/>
    </row>
    <row r="160">
      <c r="AB160" s="71" t="n"/>
    </row>
    <row r="161">
      <c r="AB161" s="71" t="n"/>
    </row>
    <row r="162">
      <c r="AB162" s="71" t="n"/>
    </row>
    <row r="163">
      <c r="AB163" s="71" t="n"/>
    </row>
    <row r="164">
      <c r="AB164" s="71" t="n"/>
    </row>
    <row r="165">
      <c r="AB165" s="71" t="n"/>
    </row>
    <row r="166">
      <c r="AB166" s="71" t="n"/>
    </row>
    <row r="167">
      <c r="AB167" s="71" t="n"/>
    </row>
    <row r="168">
      <c r="AB168" s="71" t="n"/>
    </row>
    <row r="169">
      <c r="AB169" s="71" t="n"/>
    </row>
    <row r="170">
      <c r="AB170" s="71" t="n"/>
    </row>
    <row r="171">
      <c r="AB171" s="71" t="n"/>
    </row>
    <row r="172">
      <c r="AB172" s="71" t="n"/>
    </row>
    <row r="173">
      <c r="AB173" s="71" t="n"/>
    </row>
    <row r="174">
      <c r="AB174" s="71" t="n"/>
    </row>
    <row r="175">
      <c r="AB175" s="71" t="n"/>
    </row>
    <row r="176">
      <c r="AB176" s="71" t="n"/>
    </row>
    <row r="177">
      <c r="AB177" s="71" t="n"/>
    </row>
    <row r="178">
      <c r="AB178" s="71" t="n"/>
    </row>
    <row r="179">
      <c r="AB179" s="71" t="n"/>
    </row>
    <row r="180">
      <c r="AB180" s="71" t="n"/>
    </row>
    <row r="181">
      <c r="AB181" s="71" t="n"/>
    </row>
    <row r="182">
      <c r="AB182" s="71" t="n"/>
    </row>
    <row r="183">
      <c r="AB183" s="71" t="n"/>
    </row>
    <row r="184">
      <c r="AB184" s="71" t="n"/>
    </row>
    <row r="185">
      <c r="AB185" s="71" t="n"/>
    </row>
    <row r="186">
      <c r="AB186" s="71" t="n"/>
    </row>
    <row r="187">
      <c r="AB187" s="71" t="n"/>
    </row>
    <row r="188">
      <c r="AB188" s="71" t="n"/>
    </row>
    <row r="189">
      <c r="AB189" s="71" t="n"/>
    </row>
    <row r="190">
      <c r="AB190" s="71" t="n"/>
    </row>
    <row r="191">
      <c r="AB191" s="71" t="n"/>
    </row>
    <row r="192">
      <c r="AB192" s="71" t="n"/>
    </row>
    <row r="193">
      <c r="AB193" s="71" t="n"/>
    </row>
    <row r="194">
      <c r="AB194" s="71" t="n"/>
    </row>
    <row r="195">
      <c r="AB195" s="71" t="n"/>
    </row>
    <row r="196">
      <c r="AB196" s="71" t="n"/>
    </row>
    <row r="197">
      <c r="AB197" s="71" t="n"/>
    </row>
    <row r="198">
      <c r="AB198" s="71" t="n"/>
    </row>
    <row r="199">
      <c r="AB199" s="71" t="n"/>
    </row>
    <row r="200">
      <c r="AB200" s="71" t="n"/>
    </row>
  </sheetData>
  <mergeCells count="2">
    <mergeCell ref="A2:AD2"/>
    <mergeCell ref="A1:AD1"/>
  </mergeCells>
  <conditionalFormatting sqref="AB4:AB200">
    <cfRule type="dataBar" priority="1">
      <dataBar>
        <cfvo type="min"/>
        <cfvo type="max"/>
        <color rgb="FFA02B93"/>
      </dataBar>
    </cfRule>
  </conditionalFormatting>
  <conditionalFormatting sqref="Z4:Z200">
    <cfRule type="expression" priority="2" dxfId="2">
      <formula>Z4="Published"</formula>
    </cfRule>
    <cfRule type="expression" priority="3" dxfId="3">
      <formula>Z4="Needs Update"</formula>
    </cfRule>
  </conditionalFormatting>
  <dataValidations count="5">
    <dataValidation sqref="H4:H200" showDropDown="0" showInputMessage="0" showErrorMessage="0" allowBlank="0" type="list">
      <formula1>_lists!$C$1:$C$6</formula1>
    </dataValidation>
    <dataValidation sqref="I4:I200" showDropDown="0" showInputMessage="0" showErrorMessage="0" allowBlank="0" type="list">
      <formula1>_lists!$D$1:$D$4</formula1>
    </dataValidation>
    <dataValidation sqref="J4:J200" showDropDown="0" showInputMessage="0" showErrorMessage="0" allowBlank="0" type="list">
      <formula1>_lists!$G$1:$G$7</formula1>
    </dataValidation>
    <dataValidation sqref="Z4:Z200" showDropDown="0" showInputMessage="0" showErrorMessage="0" allowBlank="0" type="list">
      <formula1>_lists!$A$1:$A$9</formula1>
    </dataValidation>
    <dataValidation sqref="AA4:AA200" showDropDown="0" showInputMessage="0" showErrorMessage="0" allowBlank="0" type="list">
      <formula1>_lists!$B$1:$B$4</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00" customWidth="1" min="2" max="2"/>
  </cols>
  <sheetData>
    <row r="1">
      <c r="A1" s="15" t="inlineStr">
        <is>
          <t>Smart Article Brief</t>
        </is>
      </c>
      <c r="B1" s="1" t="n"/>
    </row>
    <row r="2">
      <c r="A2" s="23" t="inlineStr">
        <is>
          <t>Select a Content ID in B3. Calendar fields populate automatically. Complete the highlighted research and technical-validation fields before assigning the article.</t>
        </is>
      </c>
      <c r="B2" s="1" t="n"/>
    </row>
    <row r="3">
      <c r="A3" s="25" t="inlineStr">
        <is>
          <t>Content ID</t>
        </is>
      </c>
      <c r="B3" s="4" t="inlineStr">
        <is>
          <t>EN-EC-001</t>
        </is>
      </c>
    </row>
    <row r="4">
      <c r="A4" s="25" t="n"/>
      <c r="B4" s="4" t="n"/>
    </row>
    <row r="5">
      <c r="A5" s="25" t="inlineStr">
        <is>
          <t>Article Title</t>
        </is>
      </c>
      <c r="B5" s="4">
        <f>IFERROR(INDEX('Content Calendar'!$E:$E,MATCH($B$3,'Content Calendar'!$A:$A,0)),"")</f>
        <v/>
      </c>
    </row>
    <row r="6">
      <c r="A6" s="25" t="inlineStr">
        <is>
          <t>Primary Keyword</t>
        </is>
      </c>
      <c r="B6" s="4">
        <f>IFERROR(INDEX('Content Calendar'!$F:$F,MATCH($B$3,'Content Calendar'!$A:$A,0)),"")</f>
        <v/>
      </c>
    </row>
    <row r="7">
      <c r="A7" s="25" t="inlineStr">
        <is>
          <t>Secondary Keywords</t>
        </is>
      </c>
      <c r="B7" s="4">
        <f>IFERROR(INDEX('Content Calendar'!$G:$G,MATCH($B$3,'Content Calendar'!$A:$A,0)),"")</f>
        <v/>
      </c>
    </row>
    <row r="8">
      <c r="A8" s="25" t="inlineStr">
        <is>
          <t>Search Intent</t>
        </is>
      </c>
      <c r="B8" s="4">
        <f>IFERROR(INDEX('Content Calendar'!$H:$H,MATCH($B$3,'Content Calendar'!$A:$A,0)),"")</f>
        <v/>
      </c>
    </row>
    <row r="9">
      <c r="A9" s="25" t="inlineStr">
        <is>
          <t>Primary Audience</t>
        </is>
      </c>
      <c r="B9" s="66" t="n"/>
    </row>
    <row r="10">
      <c r="A10" s="25" t="inlineStr">
        <is>
          <t>Audience Pain / Problem</t>
        </is>
      </c>
      <c r="B10" s="66" t="n"/>
    </row>
    <row r="11">
      <c r="A11" s="25" t="inlineStr">
        <is>
          <t>Core Answer / Promise</t>
        </is>
      </c>
      <c r="B11" s="66" t="n"/>
    </row>
    <row r="12">
      <c r="A12" s="25" t="inlineStr">
        <is>
          <t>SEO Title</t>
        </is>
      </c>
      <c r="B12" s="4">
        <f>IFERROR(INDEX('Content Calendar'!$K:$K,MATCH($B$3,'Content Calendar'!$A:$A,0)),"")</f>
        <v/>
      </c>
    </row>
    <row r="13">
      <c r="A13" s="25" t="inlineStr">
        <is>
          <t>Meta Description</t>
        </is>
      </c>
      <c r="B13" s="4">
        <f>IFERROR(INDEX('Content Calendar'!$M:$M,MATCH($B$3,'Content Calendar'!$A:$A,0)),"")</f>
        <v/>
      </c>
    </row>
    <row r="14">
      <c r="A14" s="25" t="inlineStr">
        <is>
          <t>Slug</t>
        </is>
      </c>
      <c r="B14" s="4">
        <f>IFERROR(INDEX('Content Calendar'!$O:$O,MATCH($B$3,'Content Calendar'!$A:$A,0)),"")</f>
        <v/>
      </c>
    </row>
    <row r="15">
      <c r="A15" s="25" t="inlineStr">
        <is>
          <t>H1</t>
        </is>
      </c>
      <c r="B15" s="4">
        <f>IFERROR(INDEX('Content Calendar'!$P:$P,MATCH($B$3,'Content Calendar'!$A:$A,0)),"")</f>
        <v/>
      </c>
    </row>
    <row r="16">
      <c r="A16" s="25" t="inlineStr">
        <is>
          <t>H2 Structure</t>
        </is>
      </c>
      <c r="B16" s="4">
        <f>IFERROR(INDEX('Content Calendar'!$Q:$Q,MATCH($B$3,'Content Calendar'!$A:$A,0)),"")</f>
        <v/>
      </c>
    </row>
    <row r="17">
      <c r="A17" s="25" t="inlineStr">
        <is>
          <t>Internal Links</t>
        </is>
      </c>
      <c r="B17" s="4">
        <f>IFERROR(INDEX('Content Calendar'!$R:$R,MATCH($B$3,'Content Calendar'!$A:$A,0)),"")</f>
        <v/>
      </c>
    </row>
    <row r="18">
      <c r="A18" s="25" t="inlineStr">
        <is>
          <t>Required Sources</t>
        </is>
      </c>
      <c r="B18" s="4">
        <f>IFERROR(INDEX('Content Calendar'!$S:$S,MATCH($B$3,'Content Calendar'!$A:$A,0)),"")</f>
        <v/>
      </c>
    </row>
    <row r="19">
      <c r="A19" s="25" t="inlineStr">
        <is>
          <t>CTA</t>
        </is>
      </c>
      <c r="B19" s="4">
        <f>IFERROR(INDEX('Content Calendar'!$T:$T,MATCH($B$3,'Content Calendar'!$A:$A,0)),"")</f>
        <v/>
      </c>
    </row>
    <row r="20">
      <c r="A20" s="25" t="inlineStr">
        <is>
          <t>Differentiation Angle</t>
        </is>
      </c>
      <c r="B20" s="66" t="n"/>
    </row>
    <row r="21">
      <c r="A21" s="25" t="inlineStr">
        <is>
          <t>Real Shop-Floor Example</t>
        </is>
      </c>
      <c r="B21" s="66" t="n"/>
    </row>
    <row r="22">
      <c r="A22" s="25" t="inlineStr">
        <is>
          <t>Required Tables</t>
        </is>
      </c>
      <c r="B22" s="66" t="n"/>
    </row>
    <row r="23">
      <c r="A23" s="25" t="inlineStr">
        <is>
          <t>Required FAQs</t>
        </is>
      </c>
      <c r="B23" s="66" t="n"/>
    </row>
    <row r="24">
      <c r="A24" s="25" t="inlineStr">
        <is>
          <t>Claims Requiring Verification</t>
        </is>
      </c>
      <c r="B24" s="66" t="n"/>
    </row>
    <row r="25">
      <c r="A25" s="25" t="inlineStr">
        <is>
          <t>Editor Notes</t>
        </is>
      </c>
      <c r="B25" s="66" t="n"/>
    </row>
  </sheetData>
  <mergeCells count="2">
    <mergeCell ref="A2:B2"/>
    <mergeCell ref="A1:B1"/>
  </mergeCells>
  <dataValidations count="1">
    <dataValidation sqref="B3" showDropDown="0" showInputMessage="0" showErrorMessage="0" allowBlank="0" type="list">
      <formula1>'Content Calendar'!$A$4:$A$63</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0" customWidth="1" min="1" max="1"/>
    <col width="25" customWidth="1" min="2" max="2"/>
    <col width="28" customWidth="1" min="3" max="3"/>
    <col width="42" customWidth="1" min="4" max="4"/>
    <col width="42" customWidth="1" min="5" max="5"/>
    <col width="24" customWidth="1" min="6" max="6"/>
    <col width="40" customWidth="1" min="7" max="7"/>
    <col width="18" customWidth="1" min="8" max="8"/>
  </cols>
  <sheetData>
    <row r="1">
      <c r="A1" s="15" t="inlineStr">
        <is>
          <t>Target Pages &amp; SEO Pillars</t>
        </is>
      </c>
      <c r="B1" s="1" t="n"/>
      <c r="C1" s="1" t="n"/>
      <c r="D1" s="1" t="n"/>
      <c r="E1" s="1" t="n"/>
      <c r="F1" s="1" t="n"/>
      <c r="G1" s="1" t="n"/>
      <c r="H1" s="1" t="n"/>
    </row>
    <row r="2">
      <c r="A2" s="23" t="inlineStr">
        <is>
          <t>Defines the preferred conversion/pillar destination for English content and helps avoid creating informational pages that compete directly with commercial pages. Assumes /en/ locale URLs.</t>
        </is>
      </c>
      <c r="B2" s="1" t="n"/>
      <c r="C2" s="1" t="n"/>
      <c r="D2" s="1" t="n"/>
      <c r="E2" s="1" t="n"/>
      <c r="F2" s="1" t="n"/>
      <c r="G2" s="1" t="n"/>
      <c r="H2" s="1" t="n"/>
    </row>
    <row r="3" ht="36" customHeight="1">
      <c r="A3" s="40" t="inlineStr">
        <is>
          <t>Type</t>
        </is>
      </c>
      <c r="B3" s="40" t="inlineStr">
        <is>
          <t>Page</t>
        </is>
      </c>
      <c r="C3" s="40" t="inlineStr">
        <is>
          <t>English URL</t>
        </is>
      </c>
      <c r="D3" s="40" t="inlineStr">
        <is>
          <t>SEO Role</t>
        </is>
      </c>
      <c r="E3" s="40" t="inlineStr">
        <is>
          <t>Core Keyword Themes</t>
        </is>
      </c>
      <c r="F3" s="40" t="inlineStr">
        <is>
          <t>Primary CTA</t>
        </is>
      </c>
      <c r="G3" s="40" t="inlineStr">
        <is>
          <t>Linked From Clusters</t>
        </is>
      </c>
      <c r="H3" s="40" t="inlineStr">
        <is>
          <t>Review Status</t>
        </is>
      </c>
    </row>
    <row r="4">
      <c r="A4" s="4" t="inlineStr">
        <is>
          <t>Commercial Pillar</t>
        </is>
      </c>
      <c r="B4" s="4" t="inlineStr">
        <is>
          <t>Smart DNC Product</t>
        </is>
      </c>
      <c r="C4" s="4" t="inlineStr">
        <is>
          <t>/en/product</t>
        </is>
      </c>
      <c r="D4" s="4" t="inlineStr">
        <is>
          <t>Primary conversion page for hardware, connectivity, and controller compatibility</t>
        </is>
      </c>
      <c r="E4" s="4" t="inlineStr">
        <is>
          <t>DNC system, CNC program transfer device, Smart DNC</t>
        </is>
      </c>
      <c r="F4" s="4" t="inlineStr">
        <is>
          <t>Order / Consultation</t>
        </is>
      </c>
      <c r="G4" s="4" t="inlineStr">
        <is>
          <t>File transfer, controllers, networking, comparison</t>
        </is>
      </c>
      <c r="H4" s="4" t="inlineStr">
        <is>
          <t>Needs Review</t>
        </is>
      </c>
    </row>
    <row r="5">
      <c r="A5" s="4" t="inlineStr">
        <is>
          <t>Commercial Pillar</t>
        </is>
      </c>
      <c r="B5" s="4" t="inlineStr">
        <is>
          <t>ElecIO Software</t>
        </is>
      </c>
      <c r="C5" s="4" t="inlineStr">
        <is>
          <t>/en/software</t>
        </is>
      </c>
      <c r="D5" s="4" t="inlineStr">
        <is>
          <t>Conversion page for program management, reporting, monitoring, and permissions</t>
        </is>
      </c>
      <c r="E5" s="4" t="inlineStr">
        <is>
          <t>DNC software, CNC program management, CNC monitoring</t>
        </is>
      </c>
      <c r="F5" s="4" t="inlineStr">
        <is>
          <t>Request Demo</t>
        </is>
      </c>
      <c r="G5" s="4" t="inlineStr">
        <is>
          <t>Program management, monitoring, reporting, security</t>
        </is>
      </c>
      <c r="H5" s="4" t="inlineStr">
        <is>
          <t>Needs Review</t>
        </is>
      </c>
    </row>
    <row r="6">
      <c r="A6" s="4" t="inlineStr">
        <is>
          <t>Trust</t>
        </is>
      </c>
      <c r="B6" s="4" t="inlineStr">
        <is>
          <t>About</t>
        </is>
      </c>
      <c r="C6" s="4" t="inlineStr">
        <is>
          <t>/en/about</t>
        </is>
      </c>
      <c r="D6" s="4" t="inlineStr">
        <is>
          <t>Brand trust, manufacturing experience, and company credibility</t>
        </is>
      </c>
      <c r="E6" s="4" t="inlineStr">
        <is>
          <t>ElecIO, DNC company, CNC connectivity</t>
        </is>
      </c>
      <c r="F6" s="4" t="inlineStr">
        <is>
          <t>Learn About ElecIO</t>
        </is>
      </c>
      <c r="G6" s="4" t="inlineStr">
        <is>
          <t>Brand, case studies, technical references</t>
        </is>
      </c>
      <c r="H6" s="4" t="inlineStr">
        <is>
          <t>Needs Review</t>
        </is>
      </c>
    </row>
    <row r="7">
      <c r="A7" s="4" t="inlineStr">
        <is>
          <t>Conversion</t>
        </is>
      </c>
      <c r="B7" s="4" t="inlineStr">
        <is>
          <t>Contact</t>
        </is>
      </c>
      <c r="C7" s="4" t="inlineStr">
        <is>
          <t>/en/contact</t>
        </is>
      </c>
      <c r="D7" s="4" t="inlineStr">
        <is>
          <t>Technical consultation, sales inquiry, and support conversion</t>
        </is>
      </c>
      <c r="E7" s="4" t="inlineStr">
        <is>
          <t>CNC consultation, DNC support, compatibility check</t>
        </is>
      </c>
      <c r="F7" s="4" t="inlineStr">
        <is>
          <t>Send Request</t>
        </is>
      </c>
      <c r="G7" s="4" t="inlineStr">
        <is>
          <t>Troubleshooting, decision-stage content</t>
        </is>
      </c>
      <c r="H7" s="4" t="inlineStr">
        <is>
          <t>Needs Review</t>
        </is>
      </c>
    </row>
    <row r="8">
      <c r="A8" s="4" t="inlineStr">
        <is>
          <t>Informational Pillar</t>
        </is>
      </c>
      <c r="B8" s="4" t="inlineStr">
        <is>
          <t>Blog</t>
        </is>
      </c>
      <c r="C8" s="4" t="inlineStr">
        <is>
          <t>/en/blog</t>
        </is>
      </c>
      <c r="D8" s="4" t="inlineStr">
        <is>
          <t>Hub for all English informational clusters</t>
        </is>
      </c>
      <c r="E8" s="4" t="inlineStr">
        <is>
          <t>CNC guides, DNC, program transfer, machine monitoring</t>
        </is>
      </c>
      <c r="F8" s="4" t="inlineStr">
        <is>
          <t>Read Articles</t>
        </is>
      </c>
      <c r="G8" s="4" t="inlineStr">
        <is>
          <t>All clusters</t>
        </is>
      </c>
      <c r="H8" s="4" t="inlineStr">
        <is>
          <t>Needs Review</t>
        </is>
      </c>
    </row>
    <row r="9">
      <c r="A9" s="4" t="inlineStr">
        <is>
          <t>Persona</t>
        </is>
      </c>
      <c r="B9" s="4" t="inlineStr">
        <is>
          <t>Business Owners</t>
        </is>
      </c>
      <c r="C9" s="4" t="inlineStr">
        <is>
          <t>/en/for/business-owners</t>
        </is>
      </c>
      <c r="D9" s="4" t="inlineStr">
        <is>
          <t>Economic value, downtime visibility, control, and ROI messaging</t>
        </is>
      </c>
      <c r="E9" s="4" t="inlineStr">
        <is>
          <t>CNC downtime, production visibility, shop efficiency</t>
        </is>
      </c>
      <c r="F9" s="4" t="inlineStr">
        <is>
          <t>Business Consultation</t>
        </is>
      </c>
      <c r="G9" s="4" t="inlineStr">
        <is>
          <t>Reporting, ROI, digitalization</t>
        </is>
      </c>
      <c r="H9" s="4" t="inlineStr">
        <is>
          <t>Needs Review</t>
        </is>
      </c>
    </row>
    <row r="10">
      <c r="A10" s="4" t="inlineStr">
        <is>
          <t>Persona</t>
        </is>
      </c>
      <c r="B10" s="4" t="inlineStr">
        <is>
          <t>CNC Programmers</t>
        </is>
      </c>
      <c r="C10" s="4" t="inlineStr">
        <is>
          <t>/en/for/programmers</t>
        </is>
      </c>
      <c r="D10" s="4" t="inlineStr">
        <is>
          <t>Program-transfer, revision, compatibility, and file-management value</t>
        </is>
      </c>
      <c r="E10" s="4" t="inlineStr">
        <is>
          <t>CNC program transfer, DNC, RS232, program management</t>
        </is>
      </c>
      <c r="F10" s="4" t="inlineStr">
        <is>
          <t>Check Compatibility</t>
        </is>
      </c>
      <c r="G10" s="4" t="inlineStr">
        <is>
          <t>Controllers, transfer, program management</t>
        </is>
      </c>
      <c r="H10" s="4" t="inlineStr">
        <is>
          <t>Needs Review</t>
        </is>
      </c>
    </row>
    <row r="11">
      <c r="A11" s="4" t="inlineStr">
        <is>
          <t>Persona</t>
        </is>
      </c>
      <c r="B11" s="4" t="inlineStr">
        <is>
          <t>CNC Operators</t>
        </is>
      </c>
      <c r="C11" s="4" t="inlineStr">
        <is>
          <t>/en/for/operators</t>
        </is>
      </c>
      <c r="D11" s="4" t="inlineStr">
        <is>
          <t>Daily workflow, correct-file access, faster transfer, fewer handling errors</t>
        </is>
      </c>
      <c r="E11" s="4" t="inlineStr">
        <is>
          <t>send CNC program, operator workflow, file errors</t>
        </is>
      </c>
      <c r="F11" s="4" t="inlineStr">
        <is>
          <t>See How It Works</t>
        </is>
      </c>
      <c r="G11" s="4" t="inlineStr">
        <is>
          <t>Tutorials, troubleshooting, security</t>
        </is>
      </c>
      <c r="H11" s="4" t="inlineStr">
        <is>
          <t>Needs Review</t>
        </is>
      </c>
    </row>
  </sheetData>
  <mergeCells count="2">
    <mergeCell ref="A2:H2"/>
    <mergeCell ref="A1:H1"/>
  </mergeCells>
  <dataValidations count="1">
    <dataValidation sqref="H4:H50" showDropDown="0" showInputMessage="0" showErrorMessage="0" allowBlank="0" type="list">
      <formula1>"Reviewed,Needs Review"</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min="1" max="1"/>
    <col width="28" customWidth="1" min="2" max="2"/>
    <col width="38" customWidth="1" min="3" max="3"/>
    <col width="30" customWidth="1" min="4" max="4"/>
    <col width="30" customWidth="1" min="5" max="5"/>
    <col width="30" customWidth="1" min="6" max="6"/>
    <col width="24" customWidth="1" min="7" max="7"/>
    <col width="18" customWidth="1" min="8" max="8"/>
  </cols>
  <sheetData>
    <row r="1">
      <c r="A1" s="15" t="inlineStr">
        <is>
          <t>Internal Linking Map</t>
        </is>
      </c>
      <c r="B1" s="1" t="n"/>
      <c r="C1" s="1" t="n"/>
      <c r="D1" s="1" t="n"/>
      <c r="E1" s="1" t="n"/>
      <c r="F1" s="1" t="n"/>
      <c r="G1" s="1" t="n"/>
      <c r="H1" s="1" t="n"/>
    </row>
    <row r="2">
      <c r="A2" s="23" t="inlineStr">
        <is>
          <t>Use anchors naturally and vary wording. Each article should link to the relevant pillar plus at least two genuinely related articles in the same or adjacent cluster.</t>
        </is>
      </c>
      <c r="B2" s="1" t="n"/>
      <c r="C2" s="1" t="n"/>
      <c r="D2" s="1" t="n"/>
      <c r="E2" s="1" t="n"/>
      <c r="F2" s="1" t="n"/>
      <c r="G2" s="1" t="n"/>
      <c r="H2" s="1" t="n"/>
    </row>
    <row r="3" ht="36" customHeight="1">
      <c r="A3" s="40" t="inlineStr">
        <is>
          <t>Source Cluster</t>
        </is>
      </c>
      <c r="B3" s="40" t="inlineStr">
        <is>
          <t>Destination Page / Cluster</t>
        </is>
      </c>
      <c r="C3" s="40" t="inlineStr">
        <is>
          <t>Destination URL</t>
        </is>
      </c>
      <c r="D3" s="40" t="inlineStr">
        <is>
          <t>Suggested Anchor 1</t>
        </is>
      </c>
      <c r="E3" s="40" t="inlineStr">
        <is>
          <t>Suggested Anchor 2</t>
        </is>
      </c>
      <c r="F3" s="40" t="inlineStr">
        <is>
          <t>Suggested Placement</t>
        </is>
      </c>
      <c r="G3" s="40" t="inlineStr">
        <is>
          <t>Link Goal</t>
        </is>
      </c>
      <c r="H3" s="40" t="inlineStr">
        <is>
          <t>Status</t>
        </is>
      </c>
    </row>
    <row r="4">
      <c r="A4" s="4" t="inlineStr">
        <is>
          <t>CNC File Transfer &amp; DNC</t>
        </is>
      </c>
      <c r="B4" s="4" t="inlineStr">
        <is>
          <t>Smart DNC Product</t>
        </is>
      </c>
      <c r="C4" s="4" t="inlineStr">
        <is>
          <t>/en/product</t>
        </is>
      </c>
      <c r="D4" s="4" t="inlineStr">
        <is>
          <t>Smart DNC system</t>
        </is>
      </c>
      <c r="E4" s="4" t="inlineStr">
        <is>
          <t>CNC program transfer solution</t>
        </is>
      </c>
      <c r="F4" s="4" t="inlineStr">
        <is>
          <t>After explaining transfer options</t>
        </is>
      </c>
      <c r="G4" s="4" t="inlineStr">
        <is>
          <t>Commercial conversion</t>
        </is>
      </c>
      <c r="H4" s="4" t="inlineStr">
        <is>
          <t>Not Reviewed</t>
        </is>
      </c>
    </row>
    <row r="5">
      <c r="A5" s="4" t="inlineStr">
        <is>
          <t>CNC File Transfer &amp; DNC</t>
        </is>
      </c>
      <c r="B5" s="4" t="inlineStr">
        <is>
          <t>DNC Software Guide</t>
        </is>
      </c>
      <c r="C5" s="4" t="inlineStr">
        <is>
          <t>/en/blog/dnc-software-for-cnc-machines</t>
        </is>
      </c>
      <c r="D5" s="4" t="inlineStr">
        <is>
          <t>DNC software for CNC machines</t>
        </is>
      </c>
      <c r="E5" s="4" t="inlineStr">
        <is>
          <t>DNC software selection guide</t>
        </is>
      </c>
      <c r="F5" s="4" t="inlineStr">
        <is>
          <t>Software / architecture section</t>
        </is>
      </c>
      <c r="G5" s="4" t="inlineStr">
        <is>
          <t>Topical depth</t>
        </is>
      </c>
      <c r="H5" s="4" t="inlineStr">
        <is>
          <t>Not Reviewed</t>
        </is>
      </c>
    </row>
    <row r="6">
      <c r="A6" s="4" t="inlineStr">
        <is>
          <t>Program Management</t>
        </is>
      </c>
      <c r="B6" s="4" t="inlineStr">
        <is>
          <t>ElecIO Software</t>
        </is>
      </c>
      <c r="C6" s="4" t="inlineStr">
        <is>
          <t>/en/software</t>
        </is>
      </c>
      <c r="D6" s="4" t="inlineStr">
        <is>
          <t>CNC program management software</t>
        </is>
      </c>
      <c r="E6" s="4" t="inlineStr">
        <is>
          <t>centralized NC file management</t>
        </is>
      </c>
      <c r="F6" s="4" t="inlineStr">
        <is>
          <t>Solution section</t>
        </is>
      </c>
      <c r="G6" s="4" t="inlineStr">
        <is>
          <t>Commercial conversion</t>
        </is>
      </c>
      <c r="H6" s="4" t="inlineStr">
        <is>
          <t>Not Reviewed</t>
        </is>
      </c>
    </row>
    <row r="7">
      <c r="A7" s="4" t="inlineStr">
        <is>
          <t>Software &amp; Monitoring</t>
        </is>
      </c>
      <c r="B7" s="4" t="inlineStr">
        <is>
          <t>ElecIO Software</t>
        </is>
      </c>
      <c r="C7" s="4" t="inlineStr">
        <is>
          <t>/en/software</t>
        </is>
      </c>
      <c r="D7" s="4" t="inlineStr">
        <is>
          <t>CNC machine monitoring software</t>
        </is>
      </c>
      <c r="E7" s="4" t="inlineStr">
        <is>
          <t>ElecIO production dashboard</t>
        </is>
      </c>
      <c r="F7" s="4" t="inlineStr">
        <is>
          <t>After metrics / data section</t>
        </is>
      </c>
      <c r="G7" s="4" t="inlineStr">
        <is>
          <t>Commercial conversion</t>
        </is>
      </c>
      <c r="H7" s="4" t="inlineStr">
        <is>
          <t>Not Reviewed</t>
        </is>
      </c>
    </row>
    <row r="8">
      <c r="A8" s="4" t="inlineStr">
        <is>
          <t>FANUC Controller</t>
        </is>
      </c>
      <c r="B8" s="4" t="inlineStr">
        <is>
          <t>FANUC Program Transfer</t>
        </is>
      </c>
      <c r="C8" s="4" t="inlineStr">
        <is>
          <t>/en/blog/fanuc-program-transfer</t>
        </is>
      </c>
      <c r="D8" s="4" t="inlineStr">
        <is>
          <t>FANUC program transfer</t>
        </is>
      </c>
      <c r="E8" s="4" t="inlineStr">
        <is>
          <t>transfer programs to FANUC CNC</t>
        </is>
      </c>
      <c r="F8" s="4" t="inlineStr">
        <is>
          <t>Controller setup section</t>
        </is>
      </c>
      <c r="G8" s="4" t="inlineStr">
        <is>
          <t>Topical depth</t>
        </is>
      </c>
      <c r="H8" s="4" t="inlineStr">
        <is>
          <t>Not Reviewed</t>
        </is>
      </c>
    </row>
    <row r="9">
      <c r="A9" s="4" t="inlineStr">
        <is>
          <t>FANUC Controller</t>
        </is>
      </c>
      <c r="B9" s="4" t="inlineStr">
        <is>
          <t>RS232 File Transfer</t>
        </is>
      </c>
      <c r="C9" s="4" t="inlineStr">
        <is>
          <t>/en/blog/rs232-cnc-file-transfer</t>
        </is>
      </c>
      <c r="D9" s="4" t="inlineStr">
        <is>
          <t>RS232 CNC file transfer</t>
        </is>
      </c>
      <c r="E9" s="4" t="inlineStr">
        <is>
          <t>serial CNC program transfer</t>
        </is>
      </c>
      <c r="F9" s="4" t="inlineStr">
        <is>
          <t>Serial setup section</t>
        </is>
      </c>
      <c r="G9" s="4" t="inlineStr">
        <is>
          <t>Topical depth</t>
        </is>
      </c>
      <c r="H9" s="4" t="inlineStr">
        <is>
          <t>Not Reviewed</t>
        </is>
      </c>
    </row>
    <row r="10">
      <c r="A10" s="4" t="inlineStr">
        <is>
          <t>HEIDENHAIN Controller</t>
        </is>
      </c>
      <c r="B10" s="4" t="inlineStr">
        <is>
          <t>HEIDENHAIN Program Transfer</t>
        </is>
      </c>
      <c r="C10" s="4" t="inlineStr">
        <is>
          <t>/en/blog/heidenhain-program-transfer</t>
        </is>
      </c>
      <c r="D10" s="4" t="inlineStr">
        <is>
          <t>HEIDENHAIN program transfer</t>
        </is>
      </c>
      <c r="E10" s="4" t="inlineStr">
        <is>
          <t>TNC file-transfer options</t>
        </is>
      </c>
      <c r="F10" s="4" t="inlineStr">
        <is>
          <t>Controller section</t>
        </is>
      </c>
      <c r="G10" s="4" t="inlineStr">
        <is>
          <t>Topical depth</t>
        </is>
      </c>
      <c r="H10" s="4" t="inlineStr">
        <is>
          <t>Not Reviewed</t>
        </is>
      </c>
    </row>
    <row r="11">
      <c r="A11" s="4" t="inlineStr">
        <is>
          <t>Siemens Controller</t>
        </is>
      </c>
      <c r="B11" s="4" t="inlineStr">
        <is>
          <t>SINUMERIK Program Transfer</t>
        </is>
      </c>
      <c r="C11" s="4" t="inlineStr">
        <is>
          <t>/en/blog/sinumerik-program-transfer</t>
        </is>
      </c>
      <c r="D11" s="4" t="inlineStr">
        <is>
          <t>SINUMERIK program transfer</t>
        </is>
      </c>
      <c r="E11" s="4" t="inlineStr">
        <is>
          <t>Siemens CNC file transfer</t>
        </is>
      </c>
      <c r="F11" s="4" t="inlineStr">
        <is>
          <t>Controller section</t>
        </is>
      </c>
      <c r="G11" s="4" t="inlineStr">
        <is>
          <t>Topical depth</t>
        </is>
      </c>
      <c r="H11" s="4" t="inlineStr">
        <is>
          <t>Not Reviewed</t>
        </is>
      </c>
    </row>
    <row r="12">
      <c r="A12" s="4" t="inlineStr">
        <is>
          <t>Security &amp; Backup</t>
        </is>
      </c>
      <c r="B12" s="4" t="inlineStr">
        <is>
          <t>CNC Program Backup</t>
        </is>
      </c>
      <c r="C12" s="4" t="inlineStr">
        <is>
          <t>/en/blog/cnc-program-backup</t>
        </is>
      </c>
      <c r="D12" s="4" t="inlineStr">
        <is>
          <t>CNC program backup</t>
        </is>
      </c>
      <c r="E12" s="4" t="inlineStr">
        <is>
          <t>protect NC programs</t>
        </is>
      </c>
      <c r="F12" s="4" t="inlineStr">
        <is>
          <t>Security section</t>
        </is>
      </c>
      <c r="G12" s="4" t="inlineStr">
        <is>
          <t>Trust / education</t>
        </is>
      </c>
      <c r="H12" s="4" t="inlineStr">
        <is>
          <t>Not Reviewed</t>
        </is>
      </c>
    </row>
    <row r="13">
      <c r="A13" s="4" t="inlineStr">
        <is>
          <t>Reporting &amp; Productivity</t>
        </is>
      </c>
      <c r="B13" s="4" t="inlineStr">
        <is>
          <t>CNC Downtime Tracking</t>
        </is>
      </c>
      <c r="C13" s="4" t="inlineStr">
        <is>
          <t>/en/blog/cnc-downtime-tracking</t>
        </is>
      </c>
      <c r="D13" s="4" t="inlineStr">
        <is>
          <t>CNC downtime tracking</t>
        </is>
      </c>
      <c r="E13" s="4" t="inlineStr">
        <is>
          <t>track machine downtime</t>
        </is>
      </c>
      <c r="F13" s="4" t="inlineStr">
        <is>
          <t>Measurement section</t>
        </is>
      </c>
      <c r="G13" s="4" t="inlineStr">
        <is>
          <t>Topical depth</t>
        </is>
      </c>
      <c r="H13" s="4" t="inlineStr">
        <is>
          <t>Not Reviewed</t>
        </is>
      </c>
    </row>
    <row r="14">
      <c r="A14" s="4" t="inlineStr">
        <is>
          <t>Troubleshooting</t>
        </is>
      </c>
      <c r="B14" s="4" t="inlineStr">
        <is>
          <t>Contact</t>
        </is>
      </c>
      <c r="C14" s="4" t="inlineStr">
        <is>
          <t>/en/contact</t>
        </is>
      </c>
      <c r="D14" s="4" t="inlineStr">
        <is>
          <t>request a technical review</t>
        </is>
      </c>
      <c r="E14" s="4" t="inlineStr">
        <is>
          <t>contact ElecIO technical team</t>
        </is>
      </c>
      <c r="F14" s="4" t="inlineStr">
        <is>
          <t>End of troubleshooting flow</t>
        </is>
      </c>
      <c r="G14" s="4" t="inlineStr">
        <is>
          <t>Support conversion</t>
        </is>
      </c>
      <c r="H14" s="4" t="inlineStr">
        <is>
          <t>Not Reviewed</t>
        </is>
      </c>
    </row>
    <row r="15">
      <c r="A15" s="4" t="inlineStr">
        <is>
          <t>Digital Transformation</t>
        </is>
      </c>
      <c r="B15" s="4" t="inlineStr">
        <is>
          <t>Legacy CNC Retrofit</t>
        </is>
      </c>
      <c r="C15" s="4" t="inlineStr">
        <is>
          <t>/en/blog/legacy-cnc-network-retrofit</t>
        </is>
      </c>
      <c r="D15" s="4" t="inlineStr">
        <is>
          <t>legacy CNC network retrofit</t>
        </is>
      </c>
      <c r="E15" s="4" t="inlineStr">
        <is>
          <t>connect older CNC machines</t>
        </is>
      </c>
      <c r="F15" s="4" t="inlineStr">
        <is>
          <t>Connectivity section</t>
        </is>
      </c>
      <c r="G15" s="4" t="inlineStr">
        <is>
          <t>Topical depth</t>
        </is>
      </c>
      <c r="H15" s="4" t="inlineStr">
        <is>
          <t>Not Reviewed</t>
        </is>
      </c>
    </row>
    <row r="16">
      <c r="A16" s="4" t="inlineStr">
        <is>
          <t>Comparison &amp; Selection</t>
        </is>
      </c>
      <c r="B16" s="4" t="inlineStr">
        <is>
          <t>CNC File Transfer Guide</t>
        </is>
      </c>
      <c r="C16" s="4" t="inlineStr">
        <is>
          <t>/en/blog/cnc-file-transfer-guide</t>
        </is>
      </c>
      <c r="D16" s="4" t="inlineStr">
        <is>
          <t>CNC file transfer guide</t>
        </is>
      </c>
      <c r="E16" s="4" t="inlineStr">
        <is>
          <t>CNC transfer methods</t>
        </is>
      </c>
      <c r="F16" s="4" t="inlineStr">
        <is>
          <t>After comparison context</t>
        </is>
      </c>
      <c r="G16" s="4" t="inlineStr">
        <is>
          <t>Reading path</t>
        </is>
      </c>
      <c r="H16" s="4" t="inlineStr">
        <is>
          <t>Not Reviewed</t>
        </is>
      </c>
    </row>
  </sheetData>
  <mergeCells count="2">
    <mergeCell ref="A2:H2"/>
    <mergeCell ref="A1:H1"/>
  </mergeCells>
  <dataValidations count="1">
    <dataValidation sqref="H4:H100" showDropDown="0" showInputMessage="0" showErrorMessage="0" allowBlank="0" type="list">
      <formula1>_lists!$F$1:$F$4</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7" customWidth="1" min="1" max="1"/>
    <col width="18" customWidth="1" min="2" max="2"/>
    <col width="28" customWidth="1" min="3" max="3"/>
    <col width="65" customWidth="1" min="4" max="4"/>
    <col width="10" customWidth="1" min="5" max="5"/>
    <col width="18" customWidth="1" min="6" max="6"/>
    <col width="18" customWidth="1" min="7" max="7"/>
    <col width="36" customWidth="1" min="8" max="8"/>
  </cols>
  <sheetData>
    <row r="1">
      <c r="A1" s="15" t="inlineStr">
        <is>
          <t>Article Quality-Control Checklist</t>
        </is>
      </c>
      <c r="B1" s="1" t="n"/>
      <c r="C1" s="1" t="n"/>
      <c r="D1" s="1" t="n"/>
      <c r="E1" s="1" t="n"/>
      <c r="F1" s="1" t="n"/>
      <c r="G1" s="1" t="n"/>
      <c r="H1" s="1" t="n"/>
    </row>
    <row r="2">
      <c r="A2" s="23" t="inlineStr">
        <is>
          <t>Use this checklist for English ElecIO content. Articles should be useful, technically verifiable, structurally clear, and ready for publication—not written to satisfy keyword density.</t>
        </is>
      </c>
      <c r="B2" s="1" t="n"/>
      <c r="C2" s="1" t="n"/>
      <c r="D2" s="1" t="n"/>
      <c r="E2" s="1" t="n"/>
      <c r="F2" s="1" t="n"/>
      <c r="G2" s="1" t="n"/>
      <c r="H2" s="1" t="n"/>
    </row>
    <row r="3" ht="36" customHeight="1">
      <c r="A3" s="40" t="inlineStr">
        <is>
          <t>#</t>
        </is>
      </c>
      <c r="B3" s="40" t="inlineStr">
        <is>
          <t>Stage</t>
        </is>
      </c>
      <c r="C3" s="40" t="inlineStr">
        <is>
          <t>Required Check</t>
        </is>
      </c>
      <c r="D3" s="40" t="inlineStr">
        <is>
          <t>Pass Criteria</t>
        </is>
      </c>
      <c r="E3" s="40" t="inlineStr">
        <is>
          <t>Weight</t>
        </is>
      </c>
      <c r="F3" s="40" t="inlineStr">
        <is>
          <t>Status</t>
        </is>
      </c>
      <c r="G3" s="40" t="inlineStr">
        <is>
          <t>Owner</t>
        </is>
      </c>
      <c r="H3" s="40" t="inlineStr">
        <is>
          <t>Notes</t>
        </is>
      </c>
    </row>
    <row r="4">
      <c r="A4" s="4" t="n">
        <v>1</v>
      </c>
      <c r="B4" s="4" t="inlineStr">
        <is>
          <t>Strategy</t>
        </is>
      </c>
      <c r="C4" s="4" t="inlineStr">
        <is>
          <t>Search intent</t>
        </is>
      </c>
      <c r="D4" s="4" t="inlineStr">
        <is>
          <t>The article directly answers the primary search need and matches the expected SERP intent.</t>
        </is>
      </c>
      <c r="E4" s="4" t="n">
        <v>5</v>
      </c>
      <c r="F4" s="4" t="inlineStr">
        <is>
          <t>Not Reviewed</t>
        </is>
      </c>
      <c r="G4" s="4" t="n"/>
      <c r="H4" s="4" t="n"/>
    </row>
    <row r="5">
      <c r="A5" s="4" t="n">
        <v>2</v>
      </c>
      <c r="B5" s="4" t="inlineStr">
        <is>
          <t>Strategy</t>
        </is>
      </c>
      <c r="C5" s="4" t="inlineStr">
        <is>
          <t>No cannibalization</t>
        </is>
      </c>
      <c r="D5" s="4" t="inlineStr">
        <is>
          <t>The page does not duplicate the role of an existing commercial or informational page.</t>
        </is>
      </c>
      <c r="E5" s="4" t="n">
        <v>5</v>
      </c>
      <c r="F5" s="4" t="inlineStr">
        <is>
          <t>Not Reviewed</t>
        </is>
      </c>
      <c r="G5" s="4" t="n"/>
      <c r="H5" s="4" t="n"/>
    </row>
    <row r="6">
      <c r="A6" s="4" t="n">
        <v>3</v>
      </c>
      <c r="B6" s="4" t="inlineStr">
        <is>
          <t>Research</t>
        </is>
      </c>
      <c r="C6" s="4" t="inlineStr">
        <is>
          <t>Source quality</t>
        </is>
      </c>
      <c r="D6" s="4" t="inlineStr">
        <is>
          <t>Controller details, protocols, compatibility, and product claims use official or verified sources.</t>
        </is>
      </c>
      <c r="E6" s="4" t="n">
        <v>5</v>
      </c>
      <c r="F6" s="4" t="inlineStr">
        <is>
          <t>Not Reviewed</t>
        </is>
      </c>
      <c r="G6" s="4" t="n"/>
      <c r="H6" s="4" t="n"/>
    </row>
    <row r="7">
      <c r="A7" s="4" t="n">
        <v>4</v>
      </c>
      <c r="B7" s="4" t="inlineStr">
        <is>
          <t>Research</t>
        </is>
      </c>
      <c r="C7" s="4" t="inlineStr">
        <is>
          <t>No fabricated claims</t>
        </is>
      </c>
      <c r="D7" s="4" t="inlineStr">
        <is>
          <t>No statistics, prices, standards, compatibility claims, or technical specifications are invented.</t>
        </is>
      </c>
      <c r="E7" s="4" t="n">
        <v>5</v>
      </c>
      <c r="F7" s="4" t="inlineStr">
        <is>
          <t>Not Reviewed</t>
        </is>
      </c>
      <c r="G7" s="4" t="n"/>
      <c r="H7" s="4" t="n"/>
    </row>
    <row r="8">
      <c r="A8" s="4" t="n">
        <v>5</v>
      </c>
      <c r="B8" s="4" t="inlineStr">
        <is>
          <t>Content</t>
        </is>
      </c>
      <c r="C8" s="4" t="inlineStr">
        <is>
          <t>Minimum useful depth</t>
        </is>
      </c>
      <c r="D8" s="4" t="inlineStr">
        <is>
          <t>At least 1,500 useful English words when the topic requires a full guide; no filler added only to reach length.</t>
        </is>
      </c>
      <c r="E8" s="4" t="n">
        <v>4</v>
      </c>
      <c r="F8" s="4" t="inlineStr">
        <is>
          <t>Not Reviewed</t>
        </is>
      </c>
      <c r="G8" s="4" t="n"/>
      <c r="H8" s="4" t="n"/>
    </row>
    <row r="9">
      <c r="A9" s="4" t="n">
        <v>6</v>
      </c>
      <c r="B9" s="4" t="inlineStr">
        <is>
          <t>Content</t>
        </is>
      </c>
      <c r="C9" s="4" t="inlineStr">
        <is>
          <t>Natural English</t>
        </is>
      </c>
      <c r="D9" s="4" t="inlineStr">
        <is>
          <t>Professional, fluent English suitable for CNC programmers, operators, shop owners, and manufacturing engineers.</t>
        </is>
      </c>
      <c r="E9" s="4" t="n">
        <v>5</v>
      </c>
      <c r="F9" s="4" t="inlineStr">
        <is>
          <t>Not Reviewed</t>
        </is>
      </c>
      <c r="G9" s="4" t="n"/>
      <c r="H9" s="4" t="n"/>
    </row>
    <row r="10">
      <c r="A10" s="4" t="n">
        <v>7</v>
      </c>
      <c r="B10" s="4" t="inlineStr">
        <is>
          <t>Content</t>
        </is>
      </c>
      <c r="C10" s="4" t="inlineStr">
        <is>
          <t>Introduction</t>
        </is>
      </c>
      <c r="D10" s="4" t="inlineStr">
        <is>
          <t>States the problem, answer, and article path quickly and clearly.</t>
        </is>
      </c>
      <c r="E10" s="4" t="n">
        <v>3</v>
      </c>
      <c r="F10" s="4" t="inlineStr">
        <is>
          <t>Not Reviewed</t>
        </is>
      </c>
      <c r="G10" s="4" t="n"/>
      <c r="H10" s="4" t="n"/>
    </row>
    <row r="11">
      <c r="A11" s="4" t="n">
        <v>8</v>
      </c>
      <c r="B11" s="4" t="inlineStr">
        <is>
          <t>Structure</t>
        </is>
      </c>
      <c r="C11" s="4" t="inlineStr">
        <is>
          <t>Single H1</t>
        </is>
      </c>
      <c r="D11" s="4" t="inlineStr">
        <is>
          <t>Exactly one strong H1 aligned with the primary topic.</t>
        </is>
      </c>
      <c r="E11" s="4" t="n">
        <v>5</v>
      </c>
      <c r="F11" s="4" t="inlineStr">
        <is>
          <t>Not Reviewed</t>
        </is>
      </c>
      <c r="G11" s="4" t="n"/>
      <c r="H11" s="4" t="n"/>
    </row>
    <row r="12">
      <c r="A12" s="4" t="n">
        <v>9</v>
      </c>
      <c r="B12" s="4" t="inlineStr">
        <is>
          <t>Structure</t>
        </is>
      </c>
      <c r="C12" s="4" t="inlineStr">
        <is>
          <t>H2 / H3 logic</t>
        </is>
      </c>
      <c r="D12" s="4" t="inlineStr">
        <is>
          <t>Headings are searchable, non-repetitive, and follow a logical technical flow.</t>
        </is>
      </c>
      <c r="E12" s="4" t="n">
        <v>4</v>
      </c>
      <c r="F12" s="4" t="inlineStr">
        <is>
          <t>Not Reviewed</t>
        </is>
      </c>
      <c r="G12" s="4" t="n"/>
      <c r="H12" s="4" t="n"/>
    </row>
    <row r="13">
      <c r="A13" s="4" t="n">
        <v>10</v>
      </c>
      <c r="B13" s="4" t="inlineStr">
        <is>
          <t>Structure</t>
        </is>
      </c>
      <c r="C13" s="4" t="inlineStr">
        <is>
          <t>Useful table</t>
        </is>
      </c>
      <c r="D13" s="4" t="inlineStr">
        <is>
          <t>A table is used only when it improves comparison, setup, troubleshooting, or decision-making.</t>
        </is>
      </c>
      <c r="E13" s="4" t="n">
        <v>3</v>
      </c>
      <c r="F13" s="4" t="inlineStr">
        <is>
          <t>Not Reviewed</t>
        </is>
      </c>
      <c r="G13" s="4" t="n"/>
      <c r="H13" s="4" t="n"/>
    </row>
    <row r="14">
      <c r="A14" s="4" t="n">
        <v>11</v>
      </c>
      <c r="B14" s="4" t="inlineStr">
        <is>
          <t>Structure</t>
        </is>
      </c>
      <c r="C14" s="4" t="inlineStr">
        <is>
          <t>Practical example</t>
        </is>
      </c>
      <c r="D14" s="4" t="inlineStr">
        <is>
          <t>Includes a realistic CNC shop scenario, workflow, or configuration example.</t>
        </is>
      </c>
      <c r="E14" s="4" t="n">
        <v>4</v>
      </c>
      <c r="F14" s="4" t="inlineStr">
        <is>
          <t>Not Reviewed</t>
        </is>
      </c>
      <c r="G14" s="4" t="n"/>
      <c r="H14" s="4" t="n"/>
    </row>
    <row r="15">
      <c r="A15" s="4" t="n">
        <v>12</v>
      </c>
      <c r="B15" s="4" t="inlineStr">
        <is>
          <t>Structure</t>
        </is>
      </c>
      <c r="C15" s="4" t="inlineStr">
        <is>
          <t>FAQ</t>
        </is>
      </c>
      <c r="D15" s="4" t="inlineStr">
        <is>
          <t>Includes real user questions with concise, useful answers.</t>
        </is>
      </c>
      <c r="E15" s="4" t="n">
        <v>4</v>
      </c>
      <c r="F15" s="4" t="inlineStr">
        <is>
          <t>Not Reviewed</t>
        </is>
      </c>
      <c r="G15" s="4" t="n"/>
      <c r="H15" s="4" t="n"/>
    </row>
    <row r="16">
      <c r="A16" s="4" t="n">
        <v>13</v>
      </c>
      <c r="B16" s="4" t="inlineStr">
        <is>
          <t>Structure</t>
        </is>
      </c>
      <c r="C16" s="4" t="inlineStr">
        <is>
          <t>Conclusion</t>
        </is>
      </c>
      <c r="D16" s="4" t="inlineStr">
        <is>
          <t>Ends with a decision-oriented summary rather than repeating the introduction.</t>
        </is>
      </c>
      <c r="E16" s="4" t="n">
        <v>3</v>
      </c>
      <c r="F16" s="4" t="inlineStr">
        <is>
          <t>Not Reviewed</t>
        </is>
      </c>
      <c r="G16" s="4" t="n"/>
      <c r="H16" s="4" t="n"/>
    </row>
    <row r="17">
      <c r="A17" s="4" t="n">
        <v>14</v>
      </c>
      <c r="B17" s="4" t="inlineStr">
        <is>
          <t>SEO</t>
        </is>
      </c>
      <c r="C17" s="4" t="inlineStr">
        <is>
          <t>Natural keyword use</t>
        </is>
      </c>
      <c r="D17" s="4" t="inlineStr">
        <is>
          <t>Primary and semantic terms are used naturally without stuffing.</t>
        </is>
      </c>
      <c r="E17" s="4" t="n">
        <v>5</v>
      </c>
      <c r="F17" s="4" t="inlineStr">
        <is>
          <t>Not Reviewed</t>
        </is>
      </c>
      <c r="G17" s="4" t="n"/>
      <c r="H17" s="4" t="n"/>
    </row>
    <row r="18">
      <c r="A18" s="4" t="n">
        <v>15</v>
      </c>
      <c r="B18" s="4" t="inlineStr">
        <is>
          <t>SEO</t>
        </is>
      </c>
      <c r="C18" s="4" t="inlineStr">
        <is>
          <t>SEO title</t>
        </is>
      </c>
      <c r="D18" s="4" t="inlineStr">
        <is>
          <t>Unique, clear, compelling, and ideally within roughly 60 characters where practical.</t>
        </is>
      </c>
      <c r="E18" s="4" t="n">
        <v>4</v>
      </c>
      <c r="F18" s="4" t="inlineStr">
        <is>
          <t>Not Reviewed</t>
        </is>
      </c>
      <c r="G18" s="4" t="n"/>
      <c r="H18" s="4" t="n"/>
    </row>
    <row r="19">
      <c r="A19" s="4" t="n">
        <v>16</v>
      </c>
      <c r="B19" s="4" t="inlineStr">
        <is>
          <t>SEO</t>
        </is>
      </c>
      <c r="C19" s="4" t="inlineStr">
        <is>
          <t>Meta description</t>
        </is>
      </c>
      <c r="D19" s="4" t="inlineStr">
        <is>
          <t>Unique, useful, and normally around 120–165 characters.</t>
        </is>
      </c>
      <c r="E19" s="4" t="n">
        <v>4</v>
      </c>
      <c r="F19" s="4" t="inlineStr">
        <is>
          <t>Not Reviewed</t>
        </is>
      </c>
      <c r="G19" s="4" t="n"/>
      <c r="H19" s="4" t="n"/>
    </row>
    <row r="20">
      <c r="A20" s="4" t="n">
        <v>17</v>
      </c>
      <c r="B20" s="4" t="inlineStr">
        <is>
          <t>SEO</t>
        </is>
      </c>
      <c r="C20" s="4" t="inlineStr">
        <is>
          <t>Slug</t>
        </is>
      </c>
      <c r="D20" s="4" t="inlineStr">
        <is>
          <t>Short, readable, stable, and English-language.</t>
        </is>
      </c>
      <c r="E20" s="4" t="n">
        <v>3</v>
      </c>
      <c r="F20" s="4" t="inlineStr">
        <is>
          <t>Not Reviewed</t>
        </is>
      </c>
      <c r="G20" s="4" t="n"/>
      <c r="H20" s="4" t="n"/>
    </row>
    <row r="21">
      <c r="A21" s="4" t="n">
        <v>18</v>
      </c>
      <c r="B21" s="4" t="inlineStr">
        <is>
          <t>SEO</t>
        </is>
      </c>
      <c r="C21" s="4" t="inlineStr">
        <is>
          <t>Internal links</t>
        </is>
      </c>
      <c r="D21" s="4" t="inlineStr">
        <is>
          <t>Links to the relevant pillar and at least two contextually related articles.</t>
        </is>
      </c>
      <c r="E21" s="4" t="n">
        <v>5</v>
      </c>
      <c r="F21" s="4" t="inlineStr">
        <is>
          <t>Not Reviewed</t>
        </is>
      </c>
      <c r="G21" s="4" t="n"/>
      <c r="H21" s="4" t="n"/>
    </row>
    <row r="22">
      <c r="A22" s="4" t="n">
        <v>19</v>
      </c>
      <c r="B22" s="4" t="inlineStr">
        <is>
          <t>SEO</t>
        </is>
      </c>
      <c r="C22" s="4" t="inlineStr">
        <is>
          <t>External links</t>
        </is>
      </c>
      <c r="D22" s="4" t="inlineStr">
        <is>
          <t>Uses only authoritative sources where they add real value.</t>
        </is>
      </c>
      <c r="E22" s="4" t="n">
        <v>3</v>
      </c>
      <c r="F22" s="4" t="inlineStr">
        <is>
          <t>Not Reviewed</t>
        </is>
      </c>
      <c r="G22" s="4" t="n"/>
      <c r="H22" s="4" t="n"/>
    </row>
    <row r="23">
      <c r="A23" s="4" t="n">
        <v>20</v>
      </c>
      <c r="B23" s="4" t="inlineStr">
        <is>
          <t>SEO</t>
        </is>
      </c>
      <c r="C23" s="4" t="inlineStr">
        <is>
          <t>Category and tags</t>
        </is>
      </c>
      <c r="D23" s="4" t="inlineStr">
        <is>
          <t>One clear category and a limited number of relevant tags.</t>
        </is>
      </c>
      <c r="E23" s="4" t="n">
        <v>2</v>
      </c>
      <c r="F23" s="4" t="inlineStr">
        <is>
          <t>Not Reviewed</t>
        </is>
      </c>
      <c r="G23" s="4" t="n"/>
      <c r="H23" s="4" t="n"/>
    </row>
    <row r="24">
      <c r="A24" s="4" t="n">
        <v>21</v>
      </c>
      <c r="B24" s="4" t="inlineStr">
        <is>
          <t>UX</t>
        </is>
      </c>
      <c r="C24" s="4" t="inlineStr">
        <is>
          <t>Readability</t>
        </is>
      </c>
      <c r="D24" s="4" t="inlineStr">
        <is>
          <t>Short paragraphs, clear lists, defined technical terms, and scannable formatting.</t>
        </is>
      </c>
      <c r="E24" s="4" t="n">
        <v>4</v>
      </c>
      <c r="F24" s="4" t="inlineStr">
        <is>
          <t>Not Reviewed</t>
        </is>
      </c>
      <c r="G24" s="4" t="n"/>
      <c r="H24" s="4" t="n"/>
    </row>
    <row r="25">
      <c r="A25" s="4" t="n">
        <v>22</v>
      </c>
      <c r="B25" s="4" t="inlineStr">
        <is>
          <t>UX</t>
        </is>
      </c>
      <c r="C25" s="4" t="inlineStr">
        <is>
          <t>CTA</t>
        </is>
      </c>
      <c r="D25" s="4" t="inlineStr">
        <is>
          <t>CTA matches the funnel stage and the article’s actual user intent.</t>
        </is>
      </c>
      <c r="E25" s="4" t="n">
        <v>4</v>
      </c>
      <c r="F25" s="4" t="inlineStr">
        <is>
          <t>Not Reviewed</t>
        </is>
      </c>
      <c r="G25" s="4" t="n"/>
      <c r="H25" s="4" t="n"/>
    </row>
    <row r="26">
      <c r="A26" s="4" t="n">
        <v>23</v>
      </c>
      <c r="B26" s="4" t="inlineStr">
        <is>
          <t>Editing</t>
        </is>
      </c>
      <c r="C26" s="4" t="inlineStr">
        <is>
          <t>Terminology consistency</t>
        </is>
      </c>
      <c r="D26" s="4" t="inlineStr">
        <is>
          <t>Controller names, RS232 terms, DNC terminology, capitalization, and punctuation are consistent.</t>
        </is>
      </c>
      <c r="E26" s="4" t="n">
        <v>3</v>
      </c>
      <c r="F26" s="4" t="inlineStr">
        <is>
          <t>Not Reviewed</t>
        </is>
      </c>
      <c r="G26" s="4" t="n"/>
      <c r="H26" s="4" t="n"/>
    </row>
    <row r="27">
      <c r="A27" s="4" t="n">
        <v>24</v>
      </c>
      <c r="B27" s="4" t="inlineStr">
        <is>
          <t>Editing</t>
        </is>
      </c>
      <c r="C27" s="4" t="inlineStr">
        <is>
          <t>No robotic repetition</t>
        </is>
      </c>
      <c r="D27" s="4" t="inlineStr">
        <is>
          <t>Repeated sections, vague filler, and formulaic AI phrasing are removed.</t>
        </is>
      </c>
      <c r="E27" s="4" t="n">
        <v>4</v>
      </c>
      <c r="F27" s="4" t="inlineStr">
        <is>
          <t>Not Reviewed</t>
        </is>
      </c>
      <c r="G27" s="4" t="n"/>
      <c r="H27" s="4" t="n"/>
    </row>
    <row r="28">
      <c r="A28" s="4" t="n">
        <v>25</v>
      </c>
      <c r="B28" s="4" t="inlineStr">
        <is>
          <t>Publishing</t>
        </is>
      </c>
      <c r="C28" s="4" t="inlineStr">
        <is>
          <t>Links tested</t>
        </is>
      </c>
      <c r="D28" s="4" t="inlineStr">
        <is>
          <t>Internal and external links resolve to the intended destination.</t>
        </is>
      </c>
      <c r="E28" s="4" t="n">
        <v>5</v>
      </c>
      <c r="F28" s="4" t="inlineStr">
        <is>
          <t>Not Reviewed</t>
        </is>
      </c>
      <c r="G28" s="4" t="n"/>
      <c r="H28" s="4" t="n"/>
    </row>
    <row r="29">
      <c r="A29" s="4" t="n">
        <v>26</v>
      </c>
      <c r="B29" s="4" t="inlineStr">
        <is>
          <t>Publishing</t>
        </is>
      </c>
      <c r="C29" s="4" t="inlineStr">
        <is>
          <t>Mobile readability</t>
        </is>
      </c>
      <c r="D29" s="4" t="inlineStr">
        <is>
          <t>Headings, tables, paragraphs, and long URLs remain usable on mobile.</t>
        </is>
      </c>
      <c r="E29" s="4" t="n">
        <v>5</v>
      </c>
      <c r="F29" s="4" t="inlineStr">
        <is>
          <t>Not Reviewed</t>
        </is>
      </c>
      <c r="G29" s="4" t="n"/>
      <c r="H29" s="4" t="n"/>
    </row>
    <row r="30">
      <c r="A30" s="4" t="n">
        <v>27</v>
      </c>
      <c r="B30" s="4" t="inlineStr">
        <is>
          <t>Post-publish</t>
        </is>
      </c>
      <c r="C30" s="4" t="inlineStr">
        <is>
          <t>Indexing</t>
        </is>
      </c>
      <c r="D30" s="4" t="inlineStr">
        <is>
          <t>Canonical, sitemap inclusion, and index status are checked.</t>
        </is>
      </c>
      <c r="E30" s="4" t="n">
        <v>4</v>
      </c>
      <c r="F30" s="4" t="inlineStr">
        <is>
          <t>Not Reviewed</t>
        </is>
      </c>
      <c r="G30" s="4" t="n"/>
      <c r="H30" s="4" t="n"/>
    </row>
    <row r="31">
      <c r="A31" s="4" t="n">
        <v>28</v>
      </c>
      <c r="B31" s="4" t="inlineStr">
        <is>
          <t>Post-publish</t>
        </is>
      </c>
      <c r="C31" s="4" t="inlineStr">
        <is>
          <t>Performance review</t>
        </is>
      </c>
      <c r="D31" s="4" t="inlineStr">
        <is>
          <t>A GSC review date is scheduled and the article is updated based on actual query data.</t>
        </is>
      </c>
      <c r="E31" s="4" t="n">
        <v>3</v>
      </c>
      <c r="F31" s="4" t="inlineStr">
        <is>
          <t>Not Reviewed</t>
        </is>
      </c>
      <c r="G31" s="4" t="n"/>
      <c r="H31" s="4" t="n"/>
    </row>
  </sheetData>
  <mergeCells count="2">
    <mergeCell ref="A2:H2"/>
    <mergeCell ref="A1:H1"/>
  </mergeCells>
  <conditionalFormatting sqref="F4:F100">
    <cfRule type="expression" priority="1" dxfId="2">
      <formula>F4="Approved"</formula>
    </cfRule>
    <cfRule type="expression" priority="2" dxfId="3">
      <formula>F4="Needs Revision"</formula>
    </cfRule>
  </conditionalFormatting>
  <dataValidations count="1">
    <dataValidation sqref="F4:F100" showDropDown="0" showInputMessage="0" showErrorMessage="0" allowBlank="0" type="list">
      <formula1>_lists!$F$1:$F$4</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110" customWidth="1" min="2" max="2"/>
  </cols>
  <sheetData>
    <row r="1">
      <c r="A1" s="15" t="inlineStr">
        <is>
          <t>ElecIO English Content Production Prompt</t>
        </is>
      </c>
      <c r="B1" s="1" t="n"/>
    </row>
    <row r="2">
      <c r="A2" s="23" t="inlineStr">
        <is>
          <t>Adapted from the FA blog-production workflow for English B2B industrial SEO. Replace {{ }} variables from the Article Brief and verified technical sources.</t>
        </is>
      </c>
      <c r="B2" s="1" t="n"/>
    </row>
    <row r="4">
      <c r="A4" s="25" t="inlineStr">
        <is>
          <t>Role</t>
        </is>
      </c>
      <c r="B4" s="4" t="inlineStr">
        <is>
          <t>You are an expert English SEO writer and B2B industrial content strategist familiar with CNC machining, DNC, FANUC, Siemens SINUMERIK, HEIDENHAIN, Mitsubishi, Haas, RS232, Ethernet, machine monitoring, and CNC program management.</t>
        </is>
      </c>
    </row>
    <row r="5">
      <c r="A5" s="25" t="inlineStr">
        <is>
          <t>Inputs</t>
        </is>
      </c>
      <c r="B5" s="4" t="inlineStr">
        <is>
          <t>Primary keyword: {{Primary Keyword}}
Secondary keywords: {{Secondary Keywords}}
Article title: {{Title}}
Search intent: {{Intent}}
Audience: {{Audience}}
CTA: {{CTA}}
Verified sources: {{Sources}}</t>
        </is>
      </c>
    </row>
    <row r="6">
      <c r="A6" s="25" t="inlineStr">
        <is>
          <t>Goal</t>
        </is>
      </c>
      <c r="B6" s="4" t="inlineStr">
        <is>
          <t>Write a complete, useful, publication-ready English article for ElecIO that solves a real problem for CNC shop owners, programmers, operators, or manufacturing engineers. Write for humans first and avoid keyword stuffing.</t>
        </is>
      </c>
    </row>
    <row r="7">
      <c r="A7" s="25" t="inlineStr">
        <is>
          <t>Accuracy Constraint</t>
        </is>
      </c>
      <c r="B7" s="4" t="inlineStr">
        <is>
          <t>Do not invent statistics, prices, standards, compatibility, controller parameters, protocols, or ElecIO product claims. Use official controller documentation and verified ElecIO documentation. If a detail is unavailable, label it as requiring technical confirmation.</t>
        </is>
      </c>
    </row>
    <row r="8">
      <c r="A8" s="25" t="inlineStr">
        <is>
          <t>Length &amp; Language</t>
        </is>
      </c>
      <c r="B8" s="4" t="inlineStr">
        <is>
          <t>For full guides, aim for at least 1,500 useful English words unless the search intent is better served by a shorter focused page. Avoid filler, robotic intros, and repeated keyword phrases.</t>
        </is>
      </c>
    </row>
    <row r="9">
      <c r="A9" s="25" t="inlineStr">
        <is>
          <t>Structure</t>
        </is>
      </c>
      <c r="B9" s="4" t="inlineStr">
        <is>
          <t>Use one strong H1, a short introduction, searchable H2s, H3s for steps/examples/errors, useful tables only when they improve understanding, a practical CNC shop example, implementation tips, real FAQs, and a decision-oriented conclusion.</t>
        </is>
      </c>
    </row>
    <row r="10">
      <c r="A10" s="25" t="inlineStr">
        <is>
          <t>SEO Metadata</t>
        </is>
      </c>
      <c r="B10" s="4" t="inlineStr">
        <is>
          <t>At the beginning provide: SEO Title, Meta Description, suggested English slug, Focus Keyword, Secondary Keywords, suggested category, and a limited set of relevant tags.</t>
        </is>
      </c>
    </row>
    <row r="11">
      <c r="A11" s="25" t="inlineStr">
        <is>
          <t>Internal Linking</t>
        </is>
      </c>
      <c r="B11" s="4" t="inlineStr">
        <is>
          <t>Suggest internal links as [Internal link suggestion: anchor — URL] only where natural. Include at least one relevant pillar link and two related cluster articles. External links should be authoritative and genuinely useful.</t>
        </is>
      </c>
    </row>
    <row r="12">
      <c r="A12" s="25" t="inlineStr">
        <is>
          <t>No Images</t>
        </is>
      </c>
      <c r="B12" s="4" t="inlineStr">
        <is>
          <t>Do not create images, image placeholders, image-placement suggestions, captions, or alt text unless specifically requested in a separate task.</t>
        </is>
      </c>
    </row>
    <row r="13">
      <c r="A13" s="25" t="inlineStr">
        <is>
          <t>Word Output</t>
        </is>
      </c>
      <c r="B13" s="4" t="inlineStr">
        <is>
          <t>If a Word file is requested: no header or footer, use proper heading styles, readable spacing, clean paragraphs, standard lists, and professional tables.</t>
        </is>
      </c>
    </row>
    <row r="14">
      <c r="A14" s="25" t="inlineStr">
        <is>
          <t>Final Check</t>
        </is>
      </c>
      <c r="B14" s="4" t="inlineStr">
        <is>
          <t>Before delivery verify intent coverage, factual support, source quality, useful depth, heading structure, natural keyword use, metadata, FAQs, conclusion, internal links, CTA, and absence of fabricated claims.</t>
        </is>
      </c>
    </row>
    <row r="15">
      <c r="A15" s="25" t="inlineStr">
        <is>
          <t>Output Order</t>
        </is>
      </c>
      <c r="B15" s="4" t="inlineStr">
        <is>
          <t>1) SEO metadata
2) H1
3) Introduction
4) Body with H2/H3
5) Useful table/checklist
6) FAQ
7) Conclusion + CTA
8) Suggested internal/external links</t>
        </is>
      </c>
    </row>
  </sheetData>
  <mergeCells count="2">
    <mergeCell ref="A2:B2"/>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2026-08-18T23:14:01Z</dcterms:created>
  <dcterms:modified xsi:type="dcterms:W3CDTF">2026-08-18T23:14:01Z</dcterms:modified>
</cp:coreProperties>
</file>